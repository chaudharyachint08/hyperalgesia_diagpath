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ar_Finger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;[Color10]-0.000"/>
    <numFmt numFmtId="165" formatCode="+0.000;-0.000;0.000"/>
    <numFmt numFmtId="166" formatCode="+0.00;-0.00;0.00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8"/>
    </font>
    <font>
      <name val="Calibri"/>
      <color rgb="005A6478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2A44"/>
    </font>
    <font>
      <name val="Calibri"/>
      <i val="1"/>
      <color rgb="005A6478"/>
      <sz val="9"/>
    </font>
    <font>
      <name val="Calibri"/>
      <i val="1"/>
      <color rgb="008C8C8C"/>
    </font>
    <font>
      <name val="Calibri"/>
      <b val="1"/>
      <color rgb="002E7D4F"/>
    </font>
    <font>
      <name val="Calibri"/>
      <b val="1"/>
      <color rgb="00E2620D"/>
    </font>
  </fonts>
  <fills count="17">
    <fill>
      <patternFill/>
    </fill>
    <fill>
      <patternFill patternType="gray125"/>
    </fill>
    <fill>
      <patternFill patternType="solid">
        <fgColor rgb="002E75D9"/>
      </patternFill>
    </fill>
    <fill>
      <patternFill patternType="solid">
        <fgColor rgb="001F2A44"/>
      </patternFill>
    </fill>
    <fill>
      <patternFill patternType="solid">
        <fgColor rgb="002E7D4F"/>
      </patternFill>
    </fill>
    <fill>
      <patternFill patternType="solid">
        <fgColor rgb="007B3FA0"/>
      </patternFill>
    </fill>
    <fill>
      <patternFill patternType="solid">
        <fgColor rgb="008C8C8C"/>
      </patternFill>
    </fill>
    <fill>
      <patternFill patternType="solid">
        <fgColor rgb="000072B2"/>
      </patternFill>
    </fill>
    <fill>
      <patternFill patternType="solid">
        <fgColor rgb="00CC79A7"/>
      </patternFill>
    </fill>
    <fill>
      <patternFill patternType="solid">
        <fgColor rgb="00E2620D"/>
      </patternFill>
    </fill>
    <fill>
      <patternFill patternType="solid">
        <fgColor rgb="001B9E9E"/>
      </patternFill>
    </fill>
    <fill>
      <patternFill patternType="solid">
        <fgColor rgb="005E6C84"/>
      </patternFill>
    </fill>
    <fill>
      <patternFill patternType="solid">
        <fgColor rgb="00E69F00"/>
      </patternFill>
    </fill>
    <fill>
      <patternFill patternType="solid">
        <fgColor rgb="0056B4E9"/>
      </patternFill>
    </fill>
    <fill>
      <patternFill patternType="solid">
        <fgColor rgb="00DCE8F8"/>
      </patternFill>
    </fill>
    <fill>
      <patternFill patternType="solid">
        <fgColor rgb="00FDF0D5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166" fontId="0" fillId="16" borderId="1" applyAlignment="1" pivotButton="0" quotePrefix="0" xfId="0">
      <alignment horizontal="center" vertical="center" wrapText="1"/>
    </xf>
    <xf numFmtId="2" fontId="0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indent="1"/>
    </xf>
    <xf numFmtId="0" fontId="0" fillId="5" borderId="1" pivotButton="0" quotePrefix="0" xfId="0"/>
    <xf numFmtId="0" fontId="5" fillId="1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roundedCorners val="1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600" b="1">
                <a:solidFill>
                  <a:srgbClr val="1F2A44"/>
                </a:solidFill>
                <a:latin typeface="Calibri"/>
              </a:defRPr>
            </a:pPr>
            <a:r>
              <a:rPr sz="1600" b="1">
                <a:solidFill>
                  <a:srgbClr val="1F2A44"/>
                </a:solidFill>
                <a:latin typeface="Calibri"/>
              </a:rPr>
              <a:t>Comparative Phenotypic Fingerprints: Nicotine Withdrawal &amp; Recovery</a:t>
            </a:r>
          </a:p>
        </rich>
      </tx>
      <overlay val="0"/>
    </title>
    <plotArea>
      <radarChart>
        <radarStyle val="filled"/>
        <ser>
          <idx val="0"/>
          <order val="0"/>
          <tx>
            <strRef>
              <f>'Radar_Fingerprint'!$C$53</f>
            </strRef>
          </tx>
          <spPr>
            <a:solidFill xmlns:a="http://schemas.openxmlformats.org/drawingml/2006/main">
              <a:srgbClr val="2E7D4F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'Radar_Fingerprint'!$B$6:$B$11</f>
            </numRef>
          </val>
        </ser>
        <ser>
          <idx val="1"/>
          <order val="1"/>
          <tx>
            <strRef>
              <f>'Radar_Fingerprint'!$C$54</f>
            </strRef>
          </tx>
          <spPr>
            <a:solidFill xmlns:a="http://schemas.openxmlformats.org/drawingml/2006/main">
              <a:srgbClr val="7B3FA0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'Radar_Fingerprint'!$C$6:$C$11</f>
            </numRef>
          </val>
        </ser>
        <ser>
          <idx val="2"/>
          <order val="2"/>
          <tx>
            <strRef>
              <f>'Radar_Fingerprint'!$C$55</f>
            </strRef>
          </tx>
          <spPr>
            <a:solidFill xmlns:a="http://schemas.openxmlformats.org/drawingml/2006/main">
              <a:srgbClr val="8C8C8C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'Radar_Fingerprint'!$D$6:$D$11</f>
            </numRef>
          </val>
        </ser>
        <ser>
          <idx val="3"/>
          <order val="3"/>
          <tx>
            <strRef>
              <f>'Radar_Fingerprint'!$C$56</f>
            </strRef>
          </tx>
          <spPr>
            <a:solidFill xmlns:a="http://schemas.openxmlformats.org/drawingml/2006/main">
              <a:srgbClr val="0072B2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'Radar_Fingerprint'!$E$6:$E$11</f>
            </numRef>
          </val>
        </ser>
        <ser>
          <idx val="4"/>
          <order val="4"/>
          <tx>
            <strRef>
              <f>'Radar_Fingerprint'!$C$57</f>
            </strRef>
          </tx>
          <spPr>
            <a:solidFill xmlns:a="http://schemas.openxmlformats.org/drawingml/2006/main">
              <a:srgbClr val="CC79A7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'Radar_Fingerprint'!$F$6:$F$11</f>
            </numRef>
          </val>
        </ser>
        <ser>
          <idx val="5"/>
          <order val="5"/>
          <tx>
            <strRef>
              <f>'Radar_Fingerprint'!$C$58</f>
            </strRef>
          </tx>
          <spPr>
            <a:solidFill xmlns:a="http://schemas.openxmlformats.org/drawingml/2006/main">
              <a:srgbClr val="E2620D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'Radar_Fingerprint'!$G$6:$G$11</f>
            </numRef>
          </val>
        </ser>
        <ser>
          <idx val="6"/>
          <order val="6"/>
          <tx>
            <strRef>
              <f>'Radar_Fingerprint'!$C$59</f>
            </strRef>
          </tx>
          <spPr>
            <a:solidFill xmlns:a="http://schemas.openxmlformats.org/drawingml/2006/main">
              <a:srgbClr val="1B9E9E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'Radar_Fingerprint'!$H$6:$H$11</f>
            </numRef>
          </val>
        </ser>
        <ser>
          <idx val="7"/>
          <order val="7"/>
          <tx>
            <strRef>
              <f>'Radar_Fingerprint'!$C$60</f>
            </strRef>
          </tx>
          <spPr>
            <a:solidFill xmlns:a="http://schemas.openxmlformats.org/drawingml/2006/main">
              <a:srgbClr val="5E6C84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'Radar_Fingerprint'!$I$6:$I$11</f>
            </numRef>
          </val>
        </ser>
        <ser>
          <idx val="8"/>
          <order val="8"/>
          <tx>
            <strRef>
              <f>'Radar_Fingerprint'!$C$61</f>
            </strRef>
          </tx>
          <spPr>
            <a:solidFill xmlns:a="http://schemas.openxmlformats.org/drawingml/2006/main">
              <a:srgbClr val="E69F00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'Radar_Fingerprint'!$J$6:$J$11</f>
            </numRef>
          </val>
        </ser>
        <ser>
          <idx val="9"/>
          <order val="9"/>
          <tx>
            <strRef>
              <f>'Radar_Fingerprint'!$C$62</f>
            </strRef>
          </tx>
          <spPr>
            <a:solidFill xmlns:a="http://schemas.openxmlformats.org/drawingml/2006/main">
              <a:srgbClr val="56B4E9">
                <a:alpha val="14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'Radar_Fingerprint'!$K$6:$K$11</f>
            </numRef>
          </val>
        </ser>
        <axId val="10"/>
        <axId val="100"/>
      </radarChart>
      <radarChart>
        <radarStyle val="marker"/>
        <ser>
          <idx val="10"/>
          <order val="10"/>
          <tx>
            <strRef>
              <f>'Radar_Fingerprint'!$C$53</f>
            </strRef>
          </tx>
          <spPr>
            <a:ln xmlns:a="http://schemas.openxmlformats.org/drawingml/2006/main" w="22225">
              <a:solidFill>
                <a:srgbClr val="2E7D4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E7D4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'Radar_Fingerprint'!$B$6:$B$11</f>
            </numRef>
          </val>
        </ser>
        <ser>
          <idx val="11"/>
          <order val="11"/>
          <tx>
            <strRef>
              <f>'Radar_Fingerprint'!$C$54</f>
            </strRef>
          </tx>
          <spPr>
            <a:ln xmlns:a="http://schemas.openxmlformats.org/drawingml/2006/main" w="22225">
              <a:solidFill>
                <a:srgbClr val="7B3FA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7B3FA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'Radar_Fingerprint'!$C$6:$C$11</f>
            </numRef>
          </val>
        </ser>
        <ser>
          <idx val="12"/>
          <order val="12"/>
          <tx>
            <strRef>
              <f>'Radar_Fingerprint'!$C$55</f>
            </strRef>
          </tx>
          <spPr>
            <a:ln xmlns:a="http://schemas.openxmlformats.org/drawingml/2006/main" w="22225">
              <a:solidFill>
                <a:srgbClr val="8C8C8C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8C8C8C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'Radar_Fingerprint'!$D$6:$D$11</f>
            </numRef>
          </val>
        </ser>
        <ser>
          <idx val="13"/>
          <order val="13"/>
          <tx>
            <strRef>
              <f>'Radar_Fingerprint'!$C$56</f>
            </strRef>
          </tx>
          <spPr>
            <a:ln xmlns:a="http://schemas.openxmlformats.org/drawingml/2006/main" w="22225">
              <a:solidFill>
                <a:srgbClr val="0072B2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72B2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'Radar_Fingerprint'!$E$6:$E$11</f>
            </numRef>
          </val>
        </ser>
        <ser>
          <idx val="14"/>
          <order val="14"/>
          <tx>
            <strRef>
              <f>'Radar_Fingerprint'!$C$57</f>
            </strRef>
          </tx>
          <spPr>
            <a:ln xmlns:a="http://schemas.openxmlformats.org/drawingml/2006/main" w="22225">
              <a:solidFill>
                <a:srgbClr val="CC79A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79A7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'Radar_Fingerprint'!$F$6:$F$11</f>
            </numRef>
          </val>
        </ser>
        <ser>
          <idx val="15"/>
          <order val="15"/>
          <tx>
            <strRef>
              <f>'Radar_Fingerprint'!$C$58</f>
            </strRef>
          </tx>
          <spPr>
            <a:ln xmlns:a="http://schemas.openxmlformats.org/drawingml/2006/main" w="22225">
              <a:solidFill>
                <a:srgbClr val="E2620D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2620D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'Radar_Fingerprint'!$G$6:$G$11</f>
            </numRef>
          </val>
        </ser>
        <ser>
          <idx val="16"/>
          <order val="16"/>
          <tx>
            <strRef>
              <f>'Radar_Fingerprint'!$C$59</f>
            </strRef>
          </tx>
          <spPr>
            <a:ln xmlns:a="http://schemas.openxmlformats.org/drawingml/2006/main" w="22225">
              <a:solidFill>
                <a:srgbClr val="1B9E9E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B9E9E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'Radar_Fingerprint'!$H$6:$H$11</f>
            </numRef>
          </val>
        </ser>
        <ser>
          <idx val="17"/>
          <order val="17"/>
          <tx>
            <strRef>
              <f>'Radar_Fingerprint'!$C$60</f>
            </strRef>
          </tx>
          <spPr>
            <a:ln xmlns:a="http://schemas.openxmlformats.org/drawingml/2006/main" w="22225">
              <a:solidFill>
                <a:srgbClr val="5E6C8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5E6C84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'Radar_Fingerprint'!$I$6:$I$11</f>
            </numRef>
          </val>
        </ser>
        <ser>
          <idx val="18"/>
          <order val="18"/>
          <tx>
            <strRef>
              <f>'Radar_Fingerprint'!$C$61</f>
            </strRef>
          </tx>
          <spPr>
            <a:ln xmlns:a="http://schemas.openxmlformats.org/drawingml/2006/main" w="22225">
              <a:solidFill>
                <a:srgbClr val="E69F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69F0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'Radar_Fingerprint'!$J$6:$J$11</f>
            </numRef>
          </val>
        </ser>
        <ser>
          <idx val="19"/>
          <order val="19"/>
          <tx>
            <strRef>
              <f>'Radar_Fingerprint'!$C$62</f>
            </strRef>
          </tx>
          <spPr>
            <a:ln xmlns:a="http://schemas.openxmlformats.org/drawingml/2006/main" w="22225">
              <a:solidFill>
                <a:srgbClr val="56B4E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56B4E9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'Radar_Fingerprint'!$K$6:$K$11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C9CF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2A44"/>
                </a:solidFill>
                <a:latin typeface="Calibri"/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2"/>
          <min val="-2"/>
        </scaling>
        <delete val="0"/>
        <axPos val="l"/>
        <majorGridlines>
          <spPr>
            <a:ln xmlns:a="http://schemas.openxmlformats.org/drawingml/2006/main" w="6350">
              <a:solidFill>
                <a:srgbClr val="D9DEE7"/>
              </a:solidFill>
              <a:prstDash val="solid"/>
            </a:ln>
          </spPr>
        </majorGridlines>
        <numFmt formatCode="0.0" sourceLinked="0"/>
        <majorTickMark val="cross"/>
        <minorTickMark val="none"/>
        <tickLblPos val="nextTo"/>
        <spPr>
          <a:ln xmlns:a="http://schemas.openxmlformats.org/drawingml/2006/main" w="6350">
            <a:solidFill>
              <a:srgbClr val="BFC6D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7A8499"/>
                </a:solidFill>
                <a:latin typeface="Calibri"/>
              </a:defRPr>
            </a:pPr>
            <a:r>
              <a:t/>
            </a:r>
            <a:endParaRPr/>
          </a:p>
        </txPr>
        <crossAx val="10"/>
        <majorUnit val="0.5"/>
      </valAx>
    </plotArea>
    <legend>
      <legendPos val="r"/>
      <legendEntry>
        <idx val="0"/>
        <delete val="1"/>
      </legendEntry>
      <legendEntry>
        <idx val="1"/>
        <delete val="1"/>
      </legendEntry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ayout>
        <manualLayout>
          <xMode val="edge"/>
          <yMode val="edge"/>
          <wMode val="factor"/>
          <hMode val="factor"/>
          <x val="0.775"/>
          <y val="0.2"/>
          <w val="0.21"/>
          <h val="0.66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1F2A44"/>
              </a:solidFill>
              <a:latin typeface="Calibri"/>
            </a:defRPr>
          </a:pPr>
          <a:r>
            <a:t/>
          </a:r>
          <a:endParaRPr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BE5"/>
      </a:solidFill>
      <a:prstDash val="solid"/>
    </a:ln>
  </spPr>
</chartSpace>
</file>

<file path=xl/charts/chart2.xml><?xml version="1.0" encoding="utf-8"?>
<chartSpace xmlns="http://schemas.openxmlformats.org/drawingml/2006/chart">
  <roundedCorners val="1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600" b="1">
                <a:solidFill>
                  <a:srgbClr val="1F2A44"/>
                </a:solidFill>
                <a:latin typeface="Calibri"/>
              </a:defRPr>
            </a:pPr>
            <a:r>
              <a:rPr sz="1600" b="1">
                <a:solidFill>
                  <a:srgbClr val="1F2A44"/>
                </a:solidFill>
                <a:latin typeface="Calibri"/>
              </a:rPr>
              <a:t>Therapeutic Reversion: Healthy vs Chronic Nicotine vs High-dose Mecamylamine</a:t>
            </a:r>
          </a:p>
        </rich>
      </tx>
      <overlay val="0"/>
    </title>
    <plotArea>
      <radarChart>
        <radarStyle val="filled"/>
        <ser>
          <idx val="0"/>
          <order val="0"/>
          <tx>
            <strRef>
              <f>'Radar_Fingerprint'!$C$53</f>
            </strRef>
          </tx>
          <spPr>
            <a:solidFill xmlns:a="http://schemas.openxmlformats.org/drawingml/2006/main">
              <a:srgbClr val="2E7D4F">
                <a:alpha val="20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'Radar_Fingerprint'!$B$6:$B$11</f>
            </numRef>
          </val>
        </ser>
        <ser>
          <idx val="1"/>
          <order val="1"/>
          <tx>
            <strRef>
              <f>'Radar_Fingerprint'!$C$58</f>
            </strRef>
          </tx>
          <spPr>
            <a:solidFill xmlns:a="http://schemas.openxmlformats.org/drawingml/2006/main">
              <a:srgbClr val="E2620D">
                <a:alpha val="20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'Radar_Fingerprint'!$G$6:$G$11</f>
            </numRef>
          </val>
        </ser>
        <ser>
          <idx val="2"/>
          <order val="2"/>
          <tx>
            <strRef>
              <f>'Radar_Fingerprint'!$C$61</f>
            </strRef>
          </tx>
          <spPr>
            <a:solidFill xmlns:a="http://schemas.openxmlformats.org/drawingml/2006/main">
              <a:srgbClr val="E69F00">
                <a:alpha val="20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'Radar_Fingerprint'!$J$6:$J$11</f>
            </numRef>
          </val>
        </ser>
        <ser>
          <idx val="3"/>
          <order val="3"/>
          <tx>
            <strRef>
              <f>'Radar_Fingerprint'!$C$56</f>
            </strRef>
          </tx>
          <spPr>
            <a:solidFill xmlns:a="http://schemas.openxmlformats.org/drawingml/2006/main">
              <a:srgbClr val="0072B2">
                <a:alpha val="20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'Radar_Fingerprint'!$E$6:$E$11</f>
            </numRef>
          </val>
        </ser>
        <ser>
          <idx val="4"/>
          <order val="4"/>
          <tx>
            <strRef>
              <f>'Radar_Fingerprint'!$C$62</f>
            </strRef>
          </tx>
          <spPr>
            <a:solidFill xmlns:a="http://schemas.openxmlformats.org/drawingml/2006/main">
              <a:srgbClr val="56B4E9">
                <a:alpha val="20000"/>
              </a:srgbClr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'Radar_Fingerprint'!$K$6:$K$11</f>
            </numRef>
          </val>
        </ser>
        <axId val="10"/>
        <axId val="100"/>
      </radarChart>
      <radarChart>
        <radarStyle val="marker"/>
        <ser>
          <idx val="5"/>
          <order val="5"/>
          <tx>
            <strRef>
              <f>'Radar_Fingerprint'!$C$53</f>
            </strRef>
          </tx>
          <spPr>
            <a:ln xmlns:a="http://schemas.openxmlformats.org/drawingml/2006/main" w="28575">
              <a:solidFill>
                <a:srgbClr val="2E7D4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E7D4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'Radar_Fingerprint'!$B$6:$B$11</f>
            </numRef>
          </val>
        </ser>
        <ser>
          <idx val="6"/>
          <order val="6"/>
          <tx>
            <strRef>
              <f>'Radar_Fingerprint'!$C$58</f>
            </strRef>
          </tx>
          <spPr>
            <a:ln xmlns:a="http://schemas.openxmlformats.org/drawingml/2006/main" w="28575">
              <a:solidFill>
                <a:srgbClr val="E2620D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2620D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'Radar_Fingerprint'!$G$6:$G$11</f>
            </numRef>
          </val>
        </ser>
        <ser>
          <idx val="7"/>
          <order val="7"/>
          <tx>
            <strRef>
              <f>'Radar_Fingerprint'!$C$61</f>
            </strRef>
          </tx>
          <spPr>
            <a:ln xmlns:a="http://schemas.openxmlformats.org/drawingml/2006/main" w="28575">
              <a:solidFill>
                <a:srgbClr val="E69F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69F0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'Radar_Fingerprint'!$J$6:$J$11</f>
            </numRef>
          </val>
        </ser>
        <ser>
          <idx val="8"/>
          <order val="8"/>
          <tx>
            <strRef>
              <f>'Radar_Fingerprint'!$C$56</f>
            </strRef>
          </tx>
          <spPr>
            <a:ln xmlns:a="http://schemas.openxmlformats.org/drawingml/2006/main" w="28575">
              <a:solidFill>
                <a:srgbClr val="0072B2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72B2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'Radar_Fingerprint'!$E$6:$E$11</f>
            </numRef>
          </val>
        </ser>
        <ser>
          <idx val="9"/>
          <order val="9"/>
          <tx>
            <strRef>
              <f>'Radar_Fingerprint'!$C$62</f>
            </strRef>
          </tx>
          <spPr>
            <a:ln xmlns:a="http://schemas.openxmlformats.org/drawingml/2006/main" w="28575">
              <a:solidFill>
                <a:srgbClr val="56B4E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56B4E9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marker>
          <cat>
            <strRef>
              <f>'Radar_Fingerprint'!$A$6:$A$11</f>
            </strRef>
          </cat>
          <val>
            <numRef>
              <f>'Radar_Fingerprint'!$K$6:$K$11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C9CF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2A44"/>
                </a:solidFill>
                <a:latin typeface="Calibri"/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2"/>
          <min val="-2"/>
        </scaling>
        <delete val="0"/>
        <axPos val="l"/>
        <majorGridlines>
          <spPr>
            <a:ln xmlns:a="http://schemas.openxmlformats.org/drawingml/2006/main" w="6350">
              <a:solidFill>
                <a:srgbClr val="D9DEE7"/>
              </a:solidFill>
              <a:prstDash val="solid"/>
            </a:ln>
          </spPr>
        </majorGridlines>
        <numFmt formatCode="0.0" sourceLinked="0"/>
        <majorTickMark val="cross"/>
        <minorTickMark val="none"/>
        <tickLblPos val="nextTo"/>
        <spPr>
          <a:ln xmlns:a="http://schemas.openxmlformats.org/drawingml/2006/main" w="6350">
            <a:solidFill>
              <a:srgbClr val="BFC6D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7A8499"/>
                </a:solidFill>
                <a:latin typeface="Calibri"/>
              </a:defRPr>
            </a:pPr>
            <a:r>
              <a:t/>
            </a:r>
            <a:endParaRPr/>
          </a:p>
        </txPr>
        <crossAx val="10"/>
        <majorUnit val="0.5"/>
      </valAx>
    </plotArea>
    <legend>
      <legendPos val="r"/>
      <legendEntry>
        <idx val="0"/>
        <delete val="1"/>
      </legendEntry>
      <legendEntry>
        <idx val="1"/>
        <delete val="1"/>
      </legendEntry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ayout>
        <manualLayout>
          <xMode val="edge"/>
          <yMode val="edge"/>
          <wMode val="factor"/>
          <hMode val="factor"/>
          <x val="0.775"/>
          <y val="0.2"/>
          <w val="0.21"/>
          <h val="0.66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1F2A44"/>
              </a:solidFill>
              <a:latin typeface="Calibri"/>
            </a:defRPr>
          </a:pPr>
          <a:r>
            <a:t/>
          </a:r>
          <a:endParaRPr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BE5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74</row>
      <rowOff>0</rowOff>
    </from>
    <ext cx="11520000" cy="64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6" customWidth="1" min="12" max="12"/>
  </cols>
  <sheetData>
    <row r="1" ht="32" customHeight="1">
      <c r="A1" s="1" t="inlineStr">
        <is>
          <t>Comparative Phenotypic Fingerprints: Nicotine Withdrawal &amp; Recovery</t>
        </is>
      </c>
    </row>
    <row r="2" ht="18" customHeight="1">
      <c r="A2" s="2" t="inlineStr">
        <is>
          <t>Figure 6 companion sheet  ·  Group-mean Z-scores on 6 validated axes  ·  10 experimental groups  ·  Source: Phenotypic_Radar_Data.csv (hyperalgesia technical report, §6.2)</t>
        </is>
      </c>
    </row>
    <row r="3" ht="15" customHeight="1"/>
    <row r="4" ht="22" customHeight="1">
      <c r="A4" s="3" t="inlineStr">
        <is>
          <t>Table 1 · Raw radar data — group-mean Z-scores (Feature × Group)</t>
        </is>
      </c>
    </row>
    <row r="5" ht="20" customHeight="1">
      <c r="A5" s="4" t="inlineStr">
        <is>
          <t>Feature</t>
        </is>
      </c>
      <c r="B5" s="5" t="inlineStr">
        <is>
          <t>Group 1</t>
        </is>
      </c>
      <c r="C5" s="6" t="inlineStr">
        <is>
          <t>Group 2</t>
        </is>
      </c>
      <c r="D5" s="7" t="inlineStr">
        <is>
          <t>Group 3</t>
        </is>
      </c>
      <c r="E5" s="8" t="inlineStr">
        <is>
          <t>Group 4</t>
        </is>
      </c>
      <c r="F5" s="9" t="inlineStr">
        <is>
          <t>Group 5</t>
        </is>
      </c>
      <c r="G5" s="10" t="inlineStr">
        <is>
          <t>Group 6</t>
        </is>
      </c>
      <c r="H5" s="11" t="inlineStr">
        <is>
          <t>Group 7</t>
        </is>
      </c>
      <c r="I5" s="12" t="inlineStr">
        <is>
          <t>Group 8</t>
        </is>
      </c>
      <c r="J5" s="13" t="inlineStr">
        <is>
          <t>Group 9</t>
        </is>
      </c>
      <c r="K5" s="14" t="inlineStr">
        <is>
          <t>Group 10</t>
        </is>
      </c>
    </row>
    <row r="6" ht="15" customHeight="1">
      <c r="A6" s="15" t="inlineStr">
        <is>
          <t>Nrf-2</t>
        </is>
      </c>
      <c r="B6" s="16" t="n">
        <v>0.01203912104980936</v>
      </c>
      <c r="C6" s="16" t="n">
        <v>-1.705453509610911</v>
      </c>
      <c r="D6" s="16" t="n">
        <v>-0.4655277044434551</v>
      </c>
      <c r="E6" s="16" t="n">
        <v>0.708319917263615</v>
      </c>
      <c r="F6" s="16" t="n">
        <v>-0.7374406727180617</v>
      </c>
      <c r="G6" s="16" t="n">
        <v>-1.102010152892279</v>
      </c>
      <c r="H6" s="16" t="n">
        <v>0.4132113544914254</v>
      </c>
      <c r="I6" s="16" t="n">
        <v>1.590275592467769</v>
      </c>
      <c r="J6" s="16" t="n">
        <v>0.06796701359130469</v>
      </c>
      <c r="K6" s="16" t="n">
        <v>1.218619040800791</v>
      </c>
    </row>
    <row r="7" ht="15" customHeight="1">
      <c r="A7" s="15" t="inlineStr">
        <is>
          <t>IL-6</t>
        </is>
      </c>
      <c r="B7" s="16" t="n">
        <v>-1.763512492540546</v>
      </c>
      <c r="C7" s="16" t="n">
        <v>0.2751284355074078</v>
      </c>
      <c r="D7" s="16" t="n">
        <v>-0.37095256221387</v>
      </c>
      <c r="E7" s="16" t="n">
        <v>-0.9199369361069103</v>
      </c>
      <c r="F7" s="16" t="n">
        <v>0.557811657406724</v>
      </c>
      <c r="G7" s="16" t="n">
        <v>1.78653464078434</v>
      </c>
      <c r="H7" s="16" t="n">
        <v>-0.09592935133608023</v>
      </c>
      <c r="I7" s="16" t="n">
        <v>-0.8847879545888417</v>
      </c>
      <c r="J7" s="16" t="n">
        <v>1.034692785915293</v>
      </c>
      <c r="K7" s="16" t="n">
        <v>0.3809517771724887</v>
      </c>
    </row>
    <row r="8" ht="15" customHeight="1">
      <c r="A8" s="15" t="inlineStr">
        <is>
          <t>iNOS</t>
        </is>
      </c>
      <c r="B8" s="16" t="n">
        <v>-1.859747478376917</v>
      </c>
      <c r="C8" s="16" t="n">
        <v>1.68308802269118</v>
      </c>
      <c r="D8" s="16" t="n">
        <v>0.1131923836872107</v>
      </c>
      <c r="E8" s="16" t="n">
        <v>-1.347530297499602</v>
      </c>
      <c r="F8" s="16" t="n">
        <v>0.4233180518176805</v>
      </c>
      <c r="G8" s="16" t="n">
        <v>0.9147622513752072</v>
      </c>
      <c r="H8" s="16" t="n">
        <v>-0.2878045868191763</v>
      </c>
      <c r="I8" s="16" t="n">
        <v>-0.2804111706718616</v>
      </c>
      <c r="J8" s="16" t="n">
        <v>0.6761277312165666</v>
      </c>
      <c r="K8" s="16" t="n">
        <v>-0.03499490742029025</v>
      </c>
    </row>
    <row r="9" ht="15" customHeight="1">
      <c r="A9" s="15" t="inlineStr">
        <is>
          <t>BDNF_SUP</t>
        </is>
      </c>
      <c r="B9" s="16" t="n">
        <v>-1.058099568536996</v>
      </c>
      <c r="C9" s="16" t="n">
        <v>1.765264964037315</v>
      </c>
      <c r="D9" s="16" t="n">
        <v>-0.02535440469054127</v>
      </c>
      <c r="E9" s="16" t="n">
        <v>-1.748773778046948</v>
      </c>
      <c r="F9" s="16" t="n">
        <v>0.6555711271590399</v>
      </c>
      <c r="G9" s="16" t="n">
        <v>0.7923446404792311</v>
      </c>
      <c r="H9" s="16" t="n">
        <v>-0.2104670399586261</v>
      </c>
      <c r="I9" s="16" t="n">
        <v>-0.2501023467362349</v>
      </c>
      <c r="J9" s="16" t="n">
        <v>0.4728272867057125</v>
      </c>
      <c r="K9" s="16" t="n">
        <v>-0.393210880411953</v>
      </c>
    </row>
    <row r="10" ht="15" customHeight="1">
      <c r="A10" s="17" t="inlineStr">
        <is>
          <t>hypalg_aft</t>
        </is>
      </c>
      <c r="B10" s="16" t="n">
        <v>0.404760787886182</v>
      </c>
      <c r="C10" s="16" t="n">
        <v>-1.007195448926081</v>
      </c>
      <c r="D10" s="16" t="n">
        <v>0.4518259957799241</v>
      </c>
      <c r="E10" s="16" t="n">
        <v>0.6871520352486346</v>
      </c>
      <c r="F10" s="16" t="n">
        <v>-1.007195448926081</v>
      </c>
      <c r="G10" s="16" t="n">
        <v>-0.677738993669886</v>
      </c>
      <c r="H10" s="16" t="n">
        <v>0.404760787886182</v>
      </c>
      <c r="I10" s="16" t="n">
        <v>-0.2070869147324651</v>
      </c>
      <c r="J10" s="16" t="n">
        <v>0.404760787886182</v>
      </c>
      <c r="K10" s="16" t="n">
        <v>0.5459564115674083</v>
      </c>
    </row>
    <row r="11" ht="15" customHeight="1">
      <c r="A11" s="17" t="inlineStr">
        <is>
          <t>hypalg_rel</t>
        </is>
      </c>
      <c r="B11" s="16" t="n">
        <v>-0.5753562514544396</v>
      </c>
      <c r="C11" s="16" t="n">
        <v>-0.5753562514544396</v>
      </c>
      <c r="D11" s="16" t="n">
        <v>0.4166372855359736</v>
      </c>
      <c r="E11" s="16" t="n">
        <v>0.5966192352852889</v>
      </c>
      <c r="F11" s="16" t="n">
        <v>-0.5753562514544396</v>
      </c>
      <c r="G11" s="16" t="n">
        <v>-0.5753562514544396</v>
      </c>
      <c r="H11" s="16" t="n">
        <v>0.5045354470414531</v>
      </c>
      <c r="I11" s="16" t="n">
        <v>-0.09819480328183582</v>
      </c>
      <c r="J11" s="16" t="n">
        <v>0.3170193691630966</v>
      </c>
      <c r="K11" s="16" t="n">
        <v>0.564808472073782</v>
      </c>
    </row>
    <row r="12" ht="30" customHeight="1">
      <c r="A12" s="18" t="inlineStr">
        <is>
          <t>Values are stored at full CSV precision (displayed to 3 dp). Cell shading: blue = below cohort mean, orange = above (fixed scale −2 … +2 Z). Feature cells: blue = molecular marker, amber = behavioural metric (same encoding as the RF-RFE figures). Both charts below are linked live to this table.</t>
        </is>
      </c>
    </row>
    <row r="13" ht="15" customHeight="1"/>
    <row r="14" ht="22" customHeight="1">
      <c r="A14" s="19" t="inlineStr">
        <is>
          <t>Figure 6 (re-drawn) · Comparative phenotypic fingerprints — all 10 groups  [native Excel radar, 16:9]</t>
        </is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22" customHeight="1">
      <c r="A51" s="20" t="inlineStr">
        <is>
          <t>Table 2 · Group legend &amp; fingerprint summary (live formulas on Table 1)</t>
        </is>
      </c>
    </row>
    <row r="52" ht="42" customHeight="1">
      <c r="A52" s="5" t="inlineStr">
        <is>
          <t>Group</t>
        </is>
      </c>
      <c r="B52" s="5" t="inlineStr">
        <is>
          <t>Colour</t>
        </is>
      </c>
      <c r="C52" s="5" t="inlineStr">
        <is>
          <t>Chart legend label</t>
        </is>
      </c>
      <c r="D52" s="5" t="inlineStr">
        <is>
          <t>Report-cited role</t>
        </is>
      </c>
      <c r="E52" s="5" t="inlineStr">
        <is>
          <t>Mean Z (6 axes)</t>
        </is>
      </c>
      <c r="F52" s="5" t="inlineStr">
        <is>
          <t>Mean |Z|</t>
        </is>
      </c>
      <c r="G52" s="5" t="inlineStr">
        <is>
          <t>Pro-nociceptive index</t>
        </is>
      </c>
      <c r="H52" s="5" t="inlineStr">
        <is>
          <t>Tolerance index</t>
        </is>
      </c>
      <c r="I52" s="5" t="inlineStr">
        <is>
          <t>Peak axis</t>
        </is>
      </c>
      <c r="J52" s="5" t="inlineStr">
        <is>
          <t>Lowest axis</t>
        </is>
      </c>
      <c r="K52" s="5" t="inlineStr">
        <is>
          <t>Distance to Group 1</t>
        </is>
      </c>
      <c r="L52" s="5" t="inlineStr">
        <is>
          <t>Nearest rank to G1</t>
        </is>
      </c>
    </row>
    <row r="53" ht="32" customHeight="1">
      <c r="A53" s="21" t="inlineStr">
        <is>
          <t>Group 1</t>
        </is>
      </c>
      <c r="B53" s="22" t="inlineStr"/>
      <c r="C53" s="23" t="inlineStr">
        <is>
          <t>Group 1 (Healthy)</t>
        </is>
      </c>
      <c r="D53" s="23" t="inlineStr">
        <is>
          <t>Healthy control</t>
        </is>
      </c>
      <c r="E53" s="24">
        <f>AVERAGE(B$6:B$11)</f>
        <v/>
      </c>
      <c r="F53" s="25">
        <f>SUMPRODUCT(ABS(B$6:B$11))/COUNT(B$6:B$11)</f>
        <v/>
      </c>
      <c r="G53" s="24">
        <f>AVERAGE(B7,B8,B9)</f>
        <v/>
      </c>
      <c r="H53" s="24">
        <f>AVERAGE(B6,B10,B11)</f>
        <v/>
      </c>
      <c r="I53" s="26">
        <f>INDEX($A$6:$A$11,MATCH(MAX(B$6:B$11),B$6:B$11,0))</f>
        <v/>
      </c>
      <c r="J53" s="26">
        <f>INDEX($A$6:$A$11,MATCH(MIN(B$6:B$11),B$6:B$11,0))</f>
        <v/>
      </c>
      <c r="K53" s="25">
        <f>SQRT(SUMXMY2(B$6:B$11,$B$6:$B$11))</f>
        <v/>
      </c>
      <c r="L53" s="26">
        <f>IF(ROW()=53,"reference",RANK(K53,$K$53:$K$62,1)-1)</f>
        <v/>
      </c>
    </row>
    <row r="54" ht="32" customHeight="1">
      <c r="A54" s="27" t="inlineStr">
        <is>
          <t>Group 2</t>
        </is>
      </c>
      <c r="B54" s="28" t="inlineStr"/>
      <c r="C54" s="29" t="inlineStr">
        <is>
          <t>Group 2</t>
        </is>
      </c>
      <c r="D54" s="30" t="inlineStr">
        <is>
          <t>Not specified in report</t>
        </is>
      </c>
      <c r="E54" s="31">
        <f>AVERAGE(C$6:C$11)</f>
        <v/>
      </c>
      <c r="F54" s="32">
        <f>SUMPRODUCT(ABS(C$6:C$11))/COUNT(C$6:C$11)</f>
        <v/>
      </c>
      <c r="G54" s="31">
        <f>AVERAGE(C7,C8,C9)</f>
        <v/>
      </c>
      <c r="H54" s="31">
        <f>AVERAGE(C6,C10,C11)</f>
        <v/>
      </c>
      <c r="I54" s="33">
        <f>INDEX($A$6:$A$11,MATCH(MAX(C$6:C$11),C$6:C$11,0))</f>
        <v/>
      </c>
      <c r="J54" s="33">
        <f>INDEX($A$6:$A$11,MATCH(MIN(C$6:C$11),C$6:C$11,0))</f>
        <v/>
      </c>
      <c r="K54" s="32">
        <f>SQRT(SUMXMY2(C$6:C$11,$B$6:$B$11))</f>
        <v/>
      </c>
      <c r="L54" s="33">
        <f>IF(ROW()=53,"reference",RANK(K54,$K$53:$K$62,1)-1)</f>
        <v/>
      </c>
    </row>
    <row r="55" ht="32" customHeight="1">
      <c r="A55" s="21" t="inlineStr">
        <is>
          <t>Group 3</t>
        </is>
      </c>
      <c r="B55" s="34" t="inlineStr"/>
      <c r="C55" s="23" t="inlineStr">
        <is>
          <t>Group 3</t>
        </is>
      </c>
      <c r="D55" s="35" t="inlineStr">
        <is>
          <t>Not specified in report</t>
        </is>
      </c>
      <c r="E55" s="24">
        <f>AVERAGE(D$6:D$11)</f>
        <v/>
      </c>
      <c r="F55" s="25">
        <f>SUMPRODUCT(ABS(D$6:D$11))/COUNT(D$6:D$11)</f>
        <v/>
      </c>
      <c r="G55" s="24">
        <f>AVERAGE(D7,D8,D9)</f>
        <v/>
      </c>
      <c r="H55" s="24">
        <f>AVERAGE(D6,D10,D11)</f>
        <v/>
      </c>
      <c r="I55" s="26">
        <f>INDEX($A$6:$A$11,MATCH(MAX(D$6:D$11),D$6:D$11,0))</f>
        <v/>
      </c>
      <c r="J55" s="26">
        <f>INDEX($A$6:$A$11,MATCH(MIN(D$6:D$11),D$6:D$11,0))</f>
        <v/>
      </c>
      <c r="K55" s="25">
        <f>SQRT(SUMXMY2(D$6:D$11,$B$6:$B$11))</f>
        <v/>
      </c>
      <c r="L55" s="26">
        <f>IF(ROW()=53,"reference",RANK(K55,$K$53:$K$62,1)-1)</f>
        <v/>
      </c>
    </row>
    <row r="56" ht="32" customHeight="1">
      <c r="A56" s="27" t="inlineStr">
        <is>
          <t>Group 4</t>
        </is>
      </c>
      <c r="B56" s="36" t="inlineStr"/>
      <c r="C56" s="29" t="inlineStr">
        <is>
          <t>Group 4 (High-dose Mec)</t>
        </is>
      </c>
      <c r="D56" s="29" t="inlineStr">
        <is>
          <t>High-dose mecamylamine</t>
        </is>
      </c>
      <c r="E56" s="31">
        <f>AVERAGE(E$6:E$11)</f>
        <v/>
      </c>
      <c r="F56" s="32">
        <f>SUMPRODUCT(ABS(E$6:E$11))/COUNT(E$6:E$11)</f>
        <v/>
      </c>
      <c r="G56" s="31">
        <f>AVERAGE(E7,E8,E9)</f>
        <v/>
      </c>
      <c r="H56" s="31">
        <f>AVERAGE(E6,E10,E11)</f>
        <v/>
      </c>
      <c r="I56" s="33">
        <f>INDEX($A$6:$A$11,MATCH(MAX(E$6:E$11),E$6:E$11,0))</f>
        <v/>
      </c>
      <c r="J56" s="33">
        <f>INDEX($A$6:$A$11,MATCH(MIN(E$6:E$11),E$6:E$11,0))</f>
        <v/>
      </c>
      <c r="K56" s="32">
        <f>SQRT(SUMXMY2(E$6:E$11,$B$6:$B$11))</f>
        <v/>
      </c>
      <c r="L56" s="33">
        <f>IF(ROW()=53,"reference",RANK(K56,$K$53:$K$62,1)-1)</f>
        <v/>
      </c>
    </row>
    <row r="57" ht="32" customHeight="1">
      <c r="A57" s="21" t="inlineStr">
        <is>
          <t>Group 5</t>
        </is>
      </c>
      <c r="B57" s="37" t="inlineStr"/>
      <c r="C57" s="23" t="inlineStr">
        <is>
          <t>Group 5</t>
        </is>
      </c>
      <c r="D57" s="35" t="inlineStr">
        <is>
          <t>Not specified in report</t>
        </is>
      </c>
      <c r="E57" s="24">
        <f>AVERAGE(F$6:F$11)</f>
        <v/>
      </c>
      <c r="F57" s="25">
        <f>SUMPRODUCT(ABS(F$6:F$11))/COUNT(F$6:F$11)</f>
        <v/>
      </c>
      <c r="G57" s="24">
        <f>AVERAGE(F7,F8,F9)</f>
        <v/>
      </c>
      <c r="H57" s="24">
        <f>AVERAGE(F6,F10,F11)</f>
        <v/>
      </c>
      <c r="I57" s="26">
        <f>INDEX($A$6:$A$11,MATCH(MAX(F$6:F$11),F$6:F$11,0))</f>
        <v/>
      </c>
      <c r="J57" s="26">
        <f>INDEX($A$6:$A$11,MATCH(MIN(F$6:F$11),F$6:F$11,0))</f>
        <v/>
      </c>
      <c r="K57" s="25">
        <f>SQRT(SUMXMY2(F$6:F$11,$B$6:$B$11))</f>
        <v/>
      </c>
      <c r="L57" s="26">
        <f>IF(ROW()=53,"reference",RANK(K57,$K$53:$K$62,1)-1)</f>
        <v/>
      </c>
    </row>
    <row r="58" ht="32" customHeight="1">
      <c r="A58" s="27" t="inlineStr">
        <is>
          <t>Group 6</t>
        </is>
      </c>
      <c r="B58" s="38" t="inlineStr"/>
      <c r="C58" s="29" t="inlineStr">
        <is>
          <t>Group 6 (Chronic nicotine)</t>
        </is>
      </c>
      <c r="D58" s="29" t="inlineStr">
        <is>
          <t>Chronic smoking / nicotine</t>
        </is>
      </c>
      <c r="E58" s="31">
        <f>AVERAGE(G$6:G$11)</f>
        <v/>
      </c>
      <c r="F58" s="32">
        <f>SUMPRODUCT(ABS(G$6:G$11))/COUNT(G$6:G$11)</f>
        <v/>
      </c>
      <c r="G58" s="31">
        <f>AVERAGE(G7,G8,G9)</f>
        <v/>
      </c>
      <c r="H58" s="31">
        <f>AVERAGE(G6,G10,G11)</f>
        <v/>
      </c>
      <c r="I58" s="33">
        <f>INDEX($A$6:$A$11,MATCH(MAX(G$6:G$11),G$6:G$11,0))</f>
        <v/>
      </c>
      <c r="J58" s="33">
        <f>INDEX($A$6:$A$11,MATCH(MIN(G$6:G$11),G$6:G$11,0))</f>
        <v/>
      </c>
      <c r="K58" s="32">
        <f>SQRT(SUMXMY2(G$6:G$11,$B$6:$B$11))</f>
        <v/>
      </c>
      <c r="L58" s="33">
        <f>IF(ROW()=53,"reference",RANK(K58,$K$53:$K$62,1)-1)</f>
        <v/>
      </c>
    </row>
    <row r="59" ht="32" customHeight="1">
      <c r="A59" s="21" t="inlineStr">
        <is>
          <t>Group 7</t>
        </is>
      </c>
      <c r="B59" s="39" t="inlineStr"/>
      <c r="C59" s="23" t="inlineStr">
        <is>
          <t>Group 7</t>
        </is>
      </c>
      <c r="D59" s="35" t="inlineStr">
        <is>
          <t>Not specified in report</t>
        </is>
      </c>
      <c r="E59" s="24">
        <f>AVERAGE(H$6:H$11)</f>
        <v/>
      </c>
      <c r="F59" s="25">
        <f>SUMPRODUCT(ABS(H$6:H$11))/COUNT(H$6:H$11)</f>
        <v/>
      </c>
      <c r="G59" s="24">
        <f>AVERAGE(H7,H8,H9)</f>
        <v/>
      </c>
      <c r="H59" s="24">
        <f>AVERAGE(H6,H10,H11)</f>
        <v/>
      </c>
      <c r="I59" s="26">
        <f>INDEX($A$6:$A$11,MATCH(MAX(H$6:H$11),H$6:H$11,0))</f>
        <v/>
      </c>
      <c r="J59" s="26">
        <f>INDEX($A$6:$A$11,MATCH(MIN(H$6:H$11),H$6:H$11,0))</f>
        <v/>
      </c>
      <c r="K59" s="25">
        <f>SQRT(SUMXMY2(H$6:H$11,$B$6:$B$11))</f>
        <v/>
      </c>
      <c r="L59" s="26">
        <f>IF(ROW()=53,"reference",RANK(K59,$K$53:$K$62,1)-1)</f>
        <v/>
      </c>
    </row>
    <row r="60" ht="32" customHeight="1">
      <c r="A60" s="27" t="inlineStr">
        <is>
          <t>Group 8</t>
        </is>
      </c>
      <c r="B60" s="40" t="inlineStr"/>
      <c r="C60" s="29" t="inlineStr">
        <is>
          <t>Group 8</t>
        </is>
      </c>
      <c r="D60" s="30" t="inlineStr">
        <is>
          <t>Not specified in report</t>
        </is>
      </c>
      <c r="E60" s="31">
        <f>AVERAGE(I$6:I$11)</f>
        <v/>
      </c>
      <c r="F60" s="32">
        <f>SUMPRODUCT(ABS(I$6:I$11))/COUNT(I$6:I$11)</f>
        <v/>
      </c>
      <c r="G60" s="31">
        <f>AVERAGE(I7,I8,I9)</f>
        <v/>
      </c>
      <c r="H60" s="31">
        <f>AVERAGE(I6,I10,I11)</f>
        <v/>
      </c>
      <c r="I60" s="33">
        <f>INDEX($A$6:$A$11,MATCH(MAX(I$6:I$11),I$6:I$11,0))</f>
        <v/>
      </c>
      <c r="J60" s="33">
        <f>INDEX($A$6:$A$11,MATCH(MIN(I$6:I$11),I$6:I$11,0))</f>
        <v/>
      </c>
      <c r="K60" s="32">
        <f>SQRT(SUMXMY2(I$6:I$11,$B$6:$B$11))</f>
        <v/>
      </c>
      <c r="L60" s="33">
        <f>IF(ROW()=53,"reference",RANK(K60,$K$53:$K$62,1)-1)</f>
        <v/>
      </c>
    </row>
    <row r="61" ht="32" customHeight="1">
      <c r="A61" s="21" t="inlineStr">
        <is>
          <t>Group 9</t>
        </is>
      </c>
      <c r="B61" s="41" t="inlineStr"/>
      <c r="C61" s="23" t="inlineStr">
        <is>
          <t>Group 9 (Chronic nicotine)</t>
        </is>
      </c>
      <c r="D61" s="23" t="inlineStr">
        <is>
          <t>Chronic smoking / nicotine</t>
        </is>
      </c>
      <c r="E61" s="24">
        <f>AVERAGE(J$6:J$11)</f>
        <v/>
      </c>
      <c r="F61" s="25">
        <f>SUMPRODUCT(ABS(J$6:J$11))/COUNT(J$6:J$11)</f>
        <v/>
      </c>
      <c r="G61" s="24">
        <f>AVERAGE(J7,J8,J9)</f>
        <v/>
      </c>
      <c r="H61" s="24">
        <f>AVERAGE(J6,J10,J11)</f>
        <v/>
      </c>
      <c r="I61" s="26">
        <f>INDEX($A$6:$A$11,MATCH(MAX(J$6:J$11),J$6:J$11,0))</f>
        <v/>
      </c>
      <c r="J61" s="26">
        <f>INDEX($A$6:$A$11,MATCH(MIN(J$6:J$11),J$6:J$11,0))</f>
        <v/>
      </c>
      <c r="K61" s="25">
        <f>SQRT(SUMXMY2(J$6:J$11,$B$6:$B$11))</f>
        <v/>
      </c>
      <c r="L61" s="26">
        <f>IF(ROW()=53,"reference",RANK(K61,$K$53:$K$62,1)-1)</f>
        <v/>
      </c>
    </row>
    <row r="62" ht="32" customHeight="1">
      <c r="A62" s="27" t="inlineStr">
        <is>
          <t>Group 10</t>
        </is>
      </c>
      <c r="B62" s="42" t="inlineStr"/>
      <c r="C62" s="29" t="inlineStr">
        <is>
          <t>Group 10 (High-dose Mec)</t>
        </is>
      </c>
      <c r="D62" s="29" t="inlineStr">
        <is>
          <t>High-dose mecamylamine</t>
        </is>
      </c>
      <c r="E62" s="31">
        <f>AVERAGE(K$6:K$11)</f>
        <v/>
      </c>
      <c r="F62" s="32">
        <f>SUMPRODUCT(ABS(K$6:K$11))/COUNT(K$6:K$11)</f>
        <v/>
      </c>
      <c r="G62" s="31">
        <f>AVERAGE(K7,K8,K9)</f>
        <v/>
      </c>
      <c r="H62" s="31">
        <f>AVERAGE(K6,K10,K11)</f>
        <v/>
      </c>
      <c r="I62" s="33">
        <f>INDEX($A$6:$A$11,MATCH(MAX(K$6:K$11),K$6:K$11,0))</f>
        <v/>
      </c>
      <c r="J62" s="33">
        <f>INDEX($A$6:$A$11,MATCH(MIN(K$6:K$11),K$6:K$11,0))</f>
        <v/>
      </c>
      <c r="K62" s="32">
        <f>SQRT(SUMXMY2(K$6:K$11,$B$6:$B$11))</f>
        <v/>
      </c>
      <c r="L62" s="33">
        <f>IF(ROW()=53,"reference",RANK(K62,$K$53:$K$62,1)-1)</f>
        <v/>
      </c>
    </row>
    <row r="63" ht="30" customHeight="1">
      <c r="A63" s="18" t="inlineStr">
        <is>
          <t>Pro-nociceptive index = mean(IL-6, iNOS, BDNF_SUP); Tolerance index = mean(Nrf-2, hypalg_aft, hypalg_rel) — blocks as defined by the hierarchical clustermap (§6.1). Distance to Group 1 = Euclidean distance between fingerprints in 6-D Z-space (0 = identical to healthy control). Roles are only listed where the report states them.</t>
        </is>
      </c>
    </row>
    <row r="64" ht="15" customHeight="1"/>
    <row r="65" ht="22" customHeight="1">
      <c r="A65" s="43" t="inlineStr">
        <is>
          <t>Table 3 · Radar axis dictionary (clockwise from 12 o'clock)</t>
        </is>
      </c>
    </row>
    <row r="66" ht="30" customHeight="1">
      <c r="A66" s="6" t="inlineStr">
        <is>
          <t>Axis #</t>
        </is>
      </c>
      <c r="B66" s="6" t="inlineStr">
        <is>
          <t>Feature</t>
        </is>
      </c>
      <c r="C66" s="6" t="inlineStr">
        <is>
          <t>Domain</t>
        </is>
      </c>
      <c r="D66" s="44" t="n"/>
      <c r="E66" s="6" t="inlineStr">
        <is>
          <t>Description</t>
        </is>
      </c>
      <c r="F66" s="44" t="n"/>
      <c r="G66" s="44" t="n"/>
      <c r="H66" s="44" t="n"/>
      <c r="I66" s="44" t="n"/>
      <c r="J66" s="6" t="inlineStr">
        <is>
          <t>Clustermap block</t>
        </is>
      </c>
      <c r="K66" s="6" t="inlineStr">
        <is>
          <t>PLS-DA VIP</t>
        </is>
      </c>
      <c r="L66" s="6" t="inlineStr">
        <is>
          <t>Cohort range</t>
        </is>
      </c>
    </row>
    <row r="67" ht="30" customHeight="1">
      <c r="A67" s="26" t="n">
        <v>1</v>
      </c>
      <c r="B67" s="45" t="inlineStr">
        <is>
          <t>Nrf-2</t>
        </is>
      </c>
      <c r="C67" s="23" t="inlineStr">
        <is>
          <t>Molecular – redox</t>
        </is>
      </c>
      <c r="D67" s="46" t="n"/>
      <c r="E67" s="23" t="inlineStr">
        <is>
          <t>Nrf-2 antioxidant transcription factor (cortex IHC)</t>
        </is>
      </c>
      <c r="F67" s="46" t="n"/>
      <c r="G67" s="46" t="n"/>
      <c r="H67" s="46" t="n"/>
      <c r="I67" s="46" t="n"/>
      <c r="J67" s="47" t="inlineStr">
        <is>
          <t>Tolerance</t>
        </is>
      </c>
      <c r="K67" s="25" t="n">
        <v>1.36</v>
      </c>
      <c r="L67" s="26">
        <f>TEXT(MIN(B6:K6),"+0.00;-0.00")&amp;" … "&amp;TEXT(MAX(B6:K6),"+0.00;-0.00")</f>
        <v/>
      </c>
    </row>
    <row r="68" ht="30" customHeight="1">
      <c r="A68" s="26" t="n">
        <v>2</v>
      </c>
      <c r="B68" s="45" t="inlineStr">
        <is>
          <t>IL-6</t>
        </is>
      </c>
      <c r="C68" s="23" t="inlineStr">
        <is>
          <t>Molecular – inflammatory</t>
        </is>
      </c>
      <c r="D68" s="46" t="n"/>
      <c r="E68" s="23" t="inlineStr">
        <is>
          <t>Interleukin-6 pro-inflammatory cytokine</t>
        </is>
      </c>
      <c r="F68" s="46" t="n"/>
      <c r="G68" s="46" t="n"/>
      <c r="H68" s="46" t="n"/>
      <c r="I68" s="46" t="n"/>
      <c r="J68" s="48" t="inlineStr">
        <is>
          <t>Pro-nociceptive</t>
        </is>
      </c>
      <c r="K68" s="25" t="n">
        <v>1.31</v>
      </c>
      <c r="L68" s="26">
        <f>TEXT(MIN(B7:K7),"+0.00;-0.00")&amp;" … "&amp;TEXT(MAX(B7:K7),"+0.00;-0.00")</f>
        <v/>
      </c>
    </row>
    <row r="69" ht="30" customHeight="1">
      <c r="A69" s="26" t="n">
        <v>3</v>
      </c>
      <c r="B69" s="45" t="inlineStr">
        <is>
          <t>iNOS</t>
        </is>
      </c>
      <c r="C69" s="23" t="inlineStr">
        <is>
          <t>Molecular – nitrosative</t>
        </is>
      </c>
      <c r="D69" s="46" t="n"/>
      <c r="E69" s="23" t="inlineStr">
        <is>
          <t>Inducible nitric-oxide synthase</t>
        </is>
      </c>
      <c r="F69" s="46" t="n"/>
      <c r="G69" s="46" t="n"/>
      <c r="H69" s="46" t="n"/>
      <c r="I69" s="46" t="n"/>
      <c r="J69" s="48" t="inlineStr">
        <is>
          <t>Pro-nociceptive</t>
        </is>
      </c>
      <c r="K69" s="25" t="inlineStr">
        <is>
          <t>—</t>
        </is>
      </c>
      <c r="L69" s="26">
        <f>TEXT(MIN(B8:K8),"+0.00;-0.00")&amp;" … "&amp;TEXT(MAX(B8:K8),"+0.00;-0.00")</f>
        <v/>
      </c>
    </row>
    <row r="70" ht="30" customHeight="1">
      <c r="A70" s="26" t="n">
        <v>4</v>
      </c>
      <c r="B70" s="45" t="inlineStr">
        <is>
          <t>BDNF_SUP</t>
        </is>
      </c>
      <c r="C70" s="23" t="inlineStr">
        <is>
          <t>Molecular – latent (CCA)</t>
        </is>
      </c>
      <c r="D70" s="46" t="n"/>
      <c r="E70" s="23" t="inlineStr">
        <is>
          <t>Super-BDNF latent score; loads on BDNF_T (0.93) &amp; Trk-β (0.89)</t>
        </is>
      </c>
      <c r="F70" s="46" t="n"/>
      <c r="G70" s="46" t="n"/>
      <c r="H70" s="46" t="n"/>
      <c r="I70" s="46" t="n"/>
      <c r="J70" s="48" t="inlineStr">
        <is>
          <t>Pro-nociceptive</t>
        </is>
      </c>
      <c r="K70" s="25" t="inlineStr">
        <is>
          <t>—</t>
        </is>
      </c>
      <c r="L70" s="26">
        <f>TEXT(MIN(B9:K9),"+0.00;-0.00")&amp;" … "&amp;TEXT(MAX(B9:K9),"+0.00;-0.00")</f>
        <v/>
      </c>
    </row>
    <row r="71" ht="30" customHeight="1">
      <c r="A71" s="26" t="n">
        <v>5</v>
      </c>
      <c r="B71" s="49" t="inlineStr">
        <is>
          <t>hypalg_aft</t>
        </is>
      </c>
      <c r="C71" s="23" t="inlineStr">
        <is>
          <t>Behavioural</t>
        </is>
      </c>
      <c r="D71" s="46" t="n"/>
      <c r="E71" s="23" t="inlineStr">
        <is>
          <t>Thermal pain latency after treatment</t>
        </is>
      </c>
      <c r="F71" s="46" t="n"/>
      <c r="G71" s="46" t="n"/>
      <c r="H71" s="46" t="n"/>
      <c r="I71" s="46" t="n"/>
      <c r="J71" s="47" t="inlineStr">
        <is>
          <t>Tolerance</t>
        </is>
      </c>
      <c r="K71" s="25" t="n">
        <v>0.7</v>
      </c>
      <c r="L71" s="26">
        <f>TEXT(MIN(B10:K10),"+0.00;-0.00")&amp;" … "&amp;TEXT(MAX(B10:K10),"+0.00;-0.00")</f>
        <v/>
      </c>
    </row>
    <row r="72" ht="30" customHeight="1">
      <c r="A72" s="26" t="n">
        <v>6</v>
      </c>
      <c r="B72" s="49" t="inlineStr">
        <is>
          <t>hypalg_rel</t>
        </is>
      </c>
      <c r="C72" s="23" t="inlineStr">
        <is>
          <t>Behavioural</t>
        </is>
      </c>
      <c r="D72" s="46" t="n"/>
      <c r="E72" s="23" t="inlineStr">
        <is>
          <t>Relative change in latency vs. baseline (hypalg_bfr)</t>
        </is>
      </c>
      <c r="F72" s="46" t="n"/>
      <c r="G72" s="46" t="n"/>
      <c r="H72" s="46" t="n"/>
      <c r="I72" s="46" t="n"/>
      <c r="J72" s="47" t="inlineStr">
        <is>
          <t>Tolerance</t>
        </is>
      </c>
      <c r="K72" s="25" t="inlineStr">
        <is>
          <t>—</t>
        </is>
      </c>
      <c r="L72" s="26">
        <f>TEXT(MIN(B11:K11),"+0.00;-0.00")&amp;" … "&amp;TEXT(MAX(B11:K11),"+0.00;-0.00")</f>
        <v/>
      </c>
    </row>
    <row r="73" ht="15" customHeight="1"/>
    <row r="74" ht="22" customHeight="1">
      <c r="A74" s="3" t="inlineStr">
        <is>
          <t>Supplementary · Key-contrast view — Healthy (G1) vs chronic nicotine (G6, G9) vs high-dose mecamylamine (G4, G10)</t>
        </is>
      </c>
    </row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</sheetData>
  <mergeCells count="23">
    <mergeCell ref="C68:D68"/>
    <mergeCell ref="E68:I68"/>
    <mergeCell ref="E71:I71"/>
    <mergeCell ref="E67:I67"/>
    <mergeCell ref="A74:L74"/>
    <mergeCell ref="A2:L2"/>
    <mergeCell ref="A14:L14"/>
    <mergeCell ref="E69:I69"/>
    <mergeCell ref="A12:K12"/>
    <mergeCell ref="A63:L63"/>
    <mergeCell ref="C71:D71"/>
    <mergeCell ref="C70:D70"/>
    <mergeCell ref="E70:I70"/>
    <mergeCell ref="A4:K4"/>
    <mergeCell ref="C72:D72"/>
    <mergeCell ref="C67:D67"/>
    <mergeCell ref="A51:L51"/>
    <mergeCell ref="A1:L1"/>
    <mergeCell ref="E72:I72"/>
    <mergeCell ref="C66:D66"/>
    <mergeCell ref="E66:I66"/>
    <mergeCell ref="C69:D69"/>
    <mergeCell ref="A65:L65"/>
  </mergeCells>
  <conditionalFormatting sqref="B6:K11">
    <cfRule type="colorScale" priority="1">
      <colorScale>
        <cfvo type="num" val="-2"/>
        <cfvo type="num" val="0"/>
        <cfvo type="num" val="2"/>
        <color rgb="009CC3E6"/>
        <color rgb="00FFFFFF"/>
        <color rgb="00F4B183"/>
      </colorScale>
    </cfRule>
  </conditionalFormatting>
  <conditionalFormatting sqref="G53:H62">
    <cfRule type="colorScale" priority="2">
      <colorScale>
        <cfvo type="num" val="-1.5"/>
        <cfvo type="num" val="0"/>
        <cfvo type="num" val="1.5"/>
        <color rgb="009CC3E6"/>
        <color rgb="00FFFFFF"/>
        <color rgb="00F4B183"/>
      </colorScale>
    </cfRule>
  </conditionalFormatting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Comparative Phenotypic Fingerprints – Radar data &amp; chart</dc:title>
  <dcterms:created xmlns:dcterms="http://purl.org/dc/terms/" xmlns:xsi="http://www.w3.org/2001/XMLSchema-instance" xsi:type="dcterms:W3CDTF">2026-09-27T14:36:52Z</dcterms:created>
  <dcterms:modified xmlns:dcterms="http://purl.org/dc/terms/" xmlns:xsi="http://www.w3.org/2001/XMLSchema-instance" xsi:type="dcterms:W3CDTF">2026-09-27T14:36:52Z</dcterms:modified>
</cp:coreProperties>
</file>