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d.docs.live.net/a906389ec4008a6a/My Drive/0 Extras/Pooja/naha_madam/hyperalgesia/figures/new/"/>
    </mc:Choice>
  </mc:AlternateContent>
  <xr:revisionPtr revIDLastSave="0" documentId="11_5265085D65E06CEDB9894CFFEDD3F0A8D568335D" xr6:coauthVersionLast="47" xr6:coauthVersionMax="47" xr10:uidLastSave="{00000000-0000-0000-0000-000000000000}"/>
  <bookViews>
    <workbookView xWindow="-120" yWindow="-120" windowWidth="29040" windowHeight="16440" xr2:uid="{00000000-000D-0000-FFFF-FFFF00000000}"/>
  </bookViews>
  <sheets>
    <sheet name="PLS-DA Data &amp; Figures" sheetId="1" r:id="rId1"/>
  </sheets>
  <definedNames>
    <definedName name="_xlnm.Print_Area" localSheetId="0">'PLS-DA Data &amp; Figures'!$A$1:$X$111</definedName>
    <definedName name="_xlnm.Print_Titles" localSheetId="0">'PLS-DA Data &amp; Figures'!$1:$6</definedName>
  </definedNames>
  <calcPr calcId="124519"/>
</workbook>
</file>

<file path=xl/sharedStrings.xml><?xml version="1.0" encoding="utf-8"?>
<sst xmlns="http://schemas.openxmlformats.org/spreadsheetml/2006/main" count="33" uniqueCount="33">
  <si>
    <t>PLS-DA  |  Diagnostic signatures</t>
  </si>
  <si>
    <t>Nicotine withdrawal-induced hyperalgesia  •  100 observations  •  10 groups  •  4- and 12-week durations  •  8 VIP features</t>
  </si>
  <si>
    <t>01  /  PLS-DA SCORE DATA</t>
  </si>
  <si>
    <t>02  /  VIP DATA</t>
  </si>
  <si>
    <t>03  /  EDITABLE FIGURES  ·  EACH CHART 960 × 540 PX (16:9)</t>
  </si>
  <si>
    <t>CSV values retained; original row order</t>
  </si>
  <si>
    <t>Descending source ranking</t>
  </si>
  <si>
    <t>LV1</t>
  </si>
  <si>
    <t>LV2</t>
  </si>
  <si>
    <t>Group</t>
  </si>
  <si>
    <t>Duration</t>
  </si>
  <si>
    <t>Feature</t>
  </si>
  <si>
    <t>VIP</t>
  </si>
  <si>
    <t>Nrf-2</t>
  </si>
  <si>
    <t>IL-6</t>
  </si>
  <si>
    <t>iNOS</t>
  </si>
  <si>
    <t>BDNF_SUP</t>
  </si>
  <si>
    <t>hypalg_bfr</t>
  </si>
  <si>
    <t>hypalg_rel</t>
  </si>
  <si>
    <t>hypalg_aft</t>
  </si>
  <si>
    <t>body_wt</t>
  </si>
  <si>
    <t>READING THE FIGURES</t>
  </si>
  <si>
    <t>A / Scores
LV1 and LV2 are used exactly as supplied. Color identifies group; circles = 4 weeks and crosses = 12 weeks.</t>
  </si>
  <si>
    <t>All 10 group IDs are shown. The supplied image used an abbreviated legend. Numeric IDs are retained because a complete treatment-to-group key was not supplied.</t>
  </si>
  <si>
    <t>B / VIP ranking
The dashed line marks VIP = 1.0. Four features exceed this reference; green cells flag them in the data table.</t>
  </si>
  <si>
    <t>Feature colors
Blue: molecular / latent molecular features
Amber: behavioral measures
Gray: body weight
Colors follow the reference slide palette.</t>
  </si>
  <si>
    <t>EDITING
Both figures are native Excel charts. Use Chart Design to change titles, axes, colors or labels. Edits to score coordinates and VIP values update the charts. If rows or group IDs change, revise the chart series ranges.</t>
  </si>
  <si>
    <t>DATA PRECISION
Tables display six decimals. Full numeric precision from each CSV is stored in the cells; the formula bar shows the underlying value.</t>
  </si>
  <si>
    <t>SOURCE &amp; SCOPE  |  PLS-DA_scores.csv and PLS-DA_vip_df.csv; context: hyperalgesia_report.pdf, §5.1. No PLS-DA model was refit and no values were re-estimated. Duration is interpreted in weeks from the report.</t>
  </si>
  <si>
    <t>DESIGN  |  fig_5.png supplies the plot structure; image-1.png supplies the blue / amber / green visual palette. Both charts are editable Office chart objects, with no embedded plot images. Keep width-to-height at 16:9 when resizing.</t>
  </si>
  <si>
    <t>SOURCE TABLES  |  All 100 score records and all 8 VIP records are preserved. Group and Duration are the original CSV fields. No unprovided treatment labels or variance-explained percentages have been inferred.</t>
  </si>
  <si>
    <t>Threshold X</t>
  </si>
  <si>
    <t>Threshold 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</si>
</sst>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8" x14ac:knownFonts="1">
    <font>
      <sz val="11"/>
      <color theme="1"/>
      <name val="Calibri"/>
      <family val="2"/>
      <scheme val="minor"/>
    </font>
    <font>
      <b/>
      <sz val="23"/>
      <color rgb="FFFFFFFF"/>
      <name val="Calibri"/>
      <family val="2"/>
      <scheme val="minor"/>
    </font>
    <font>
      <sz val="11"/>
      <color rgb="FF536B7A"/>
      <name val="Calibri"/>
      <family val="2"/>
      <scheme val="minor"/>
    </font>
    <font>
      <b/>
      <sz val="11"/>
      <color rgb="FF0077B6"/>
      <name val="Calibri"/>
      <family val="2"/>
      <scheme val="minor"/>
    </font>
    <font>
      <sz val="11"/>
      <color rgb="FF143A52"/>
      <name val="Calibri"/>
      <family val="2"/>
      <scheme val="minor"/>
    </font>
    <font>
      <sz val="10"/>
      <color rgb="FF0077B6"/>
      <name val="Calibri"/>
      <family val="2"/>
      <scheme val="minor"/>
    </font>
    <font>
      <sz val="10"/>
      <color rgb="FF536B7A"/>
      <name val="Calibri"/>
      <family val="2"/>
      <scheme val="minor"/>
    </font>
    <font>
      <sz val="10"/>
      <color rgb="FF976800"/>
      <name val="Calibri"/>
      <family val="2"/>
      <scheme val="minor"/>
    </font>
  </fonts>
  <fills count="6">
    <fill>
      <patternFill patternType="none"/>
    </fill>
    <fill>
      <patternFill patternType="gray125"/>
    </fill>
    <fill>
      <patternFill patternType="solid">
        <fgColor rgb="FF143A52"/>
        <bgColor indexed="64"/>
      </patternFill>
    </fill>
    <fill>
      <patternFill patternType="solid">
        <fgColor rgb="FFE9F3F9"/>
        <bgColor indexed="64"/>
      </patternFill>
    </fill>
    <fill>
      <patternFill patternType="solid">
        <fgColor rgb="FFEFF7FC"/>
        <bgColor indexed="64"/>
      </patternFill>
    </fill>
    <fill>
      <patternFill patternType="solid">
        <fgColor rgb="FFFFF7E4"/>
        <bgColor indexed="64"/>
      </patternFill>
    </fill>
  </fills>
  <borders count="1">
    <border>
      <left/>
      <right/>
      <top/>
      <bottom/>
      <diagonal/>
    </border>
  </borders>
  <cellStyleXfs count="1">
    <xf numFmtId="0" fontId="0" fillId="0" borderId="0"/>
  </cellStyleXfs>
  <cellXfs count="10">
    <xf numFmtId="0" fontId="0" fillId="0" borderId="0" xfId="0"/>
    <xf numFmtId="164" fontId="4" fillId="0" borderId="0" xfId="0" applyNumberFormat="1" applyFont="1" applyAlignment="1">
      <alignment horizontal="right"/>
    </xf>
    <xf numFmtId="1" fontId="4" fillId="0" borderId="0" xfId="0" applyNumberFormat="1" applyFont="1" applyAlignment="1">
      <alignment horizontal="center"/>
    </xf>
    <xf numFmtId="0" fontId="4" fillId="0" borderId="0" xfId="0" applyFont="1"/>
    <xf numFmtId="0" fontId="1" fillId="2" borderId="0" xfId="0" applyFont="1" applyFill="1" applyAlignment="1">
      <alignment vertical="center"/>
    </xf>
    <xf numFmtId="0" fontId="2" fillId="0" borderId="0" xfId="0" applyFont="1" applyAlignment="1">
      <alignment vertical="center"/>
    </xf>
    <xf numFmtId="0" fontId="3" fillId="3" borderId="0" xfId="0" applyFont="1" applyFill="1" applyAlignment="1">
      <alignment vertical="center"/>
    </xf>
    <xf numFmtId="0" fontId="5" fillId="4" borderId="0" xfId="0" applyFont="1" applyFill="1" applyAlignment="1">
      <alignment vertical="top" wrapText="1"/>
    </xf>
    <xf numFmtId="0" fontId="6" fillId="0" borderId="0" xfId="0" applyFont="1" applyAlignment="1">
      <alignment vertical="top" wrapText="1"/>
    </xf>
    <xf numFmtId="0" fontId="7" fillId="5" borderId="0" xfId="0" applyFont="1" applyFill="1" applyAlignment="1">
      <alignment vertical="top" wrapText="1"/>
    </xf>
  </cellXfs>
  <cellStyles count="1">
    <cellStyle name="Normal" xfId="0" builtinId="0"/>
  </cellStyles>
  <dxfs count="7">
    <dxf>
      <font>
        <b/>
        <color rgb="FF236745"/>
      </font>
      <numFmt numFmtId="164" formatCode="0.000000"/>
      <fill>
        <patternFill>
          <bgColor rgb="FFE5F3EA"/>
        </patternFill>
      </fill>
    </dxf>
    <dxf>
      <font>
        <color rgb="FF143A52"/>
      </font>
      <numFmt numFmtId="164" formatCode="0.000000"/>
    </dxf>
    <dxf>
      <font>
        <color rgb="FF143A52"/>
      </font>
    </dxf>
    <dxf>
      <font>
        <color rgb="FF143A52"/>
      </font>
      <numFmt numFmtId="1" formatCode="0"/>
    </dxf>
    <dxf>
      <font>
        <color rgb="FF143A52"/>
      </font>
      <numFmt numFmtId="1" formatCode="0"/>
    </dxf>
    <dxf>
      <font>
        <color rgb="FF143A52"/>
      </font>
      <numFmt numFmtId="164" formatCode="0.000000"/>
    </dxf>
    <dxf>
      <font>
        <color rgb="FF143A52"/>
      </font>
      <numFmt numFmtId="164" formatCode="0.000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500" b="1" baseline="0">
                <a:solidFill>
                  <a:srgbClr val="143A52"/>
                </a:solidFill>
                <a:latin typeface="Calibri"/>
              </a:defRPr>
            </a:pPr>
            <a:r>
              <a:rPr lang="en-US" sz="1500" b="1" baseline="0">
                <a:solidFill>
                  <a:srgbClr val="143A52"/>
                </a:solidFill>
                <a:latin typeface="Calibri"/>
              </a:rPr>
              <a:t>A  |  PLS-DA score plot
Diagnostic group separation · circles: 4 weeks; crosses: 12 weeks</a:t>
            </a:r>
          </a:p>
        </c:rich>
      </c:tx>
      <c:overlay val="0"/>
    </c:title>
    <c:autoTitleDeleted val="0"/>
    <c:plotArea>
      <c:layout/>
      <c:scatterChart>
        <c:scatterStyle val="lineMarker"/>
        <c:varyColors val="0"/>
        <c:ser>
          <c:idx val="0"/>
          <c:order val="0"/>
          <c:tx>
            <c:v>Group 1</c:v>
          </c:tx>
          <c:spPr>
            <a:ln>
              <a:noFill/>
            </a:ln>
          </c:spPr>
          <c:marker>
            <c:symbol val="circle"/>
            <c:size val="7"/>
            <c:spPr>
              <a:solidFill>
                <a:srgbClr val="0077B6">
                  <a:alpha val="85000"/>
                </a:srgbClr>
              </a:solidFill>
              <a:ln w="9525">
                <a:solidFill>
                  <a:srgbClr val="0077B6"/>
                </a:solidFill>
              </a:ln>
            </c:spPr>
          </c:marker>
          <c:xVal>
            <c:numRef>
              <c:f>'PLS-DA Data &amp; Figures'!$A$8:$A$12</c:f>
              <c:numCache>
                <c:formatCode>0.000000</c:formatCode>
                <c:ptCount val="5"/>
                <c:pt idx="0">
                  <c:v>-2.9631530915893758</c:v>
                </c:pt>
                <c:pt idx="1">
                  <c:v>-2.7284876505068079</c:v>
                </c:pt>
                <c:pt idx="2">
                  <c:v>-2.3603233776304071</c:v>
                </c:pt>
                <c:pt idx="3">
                  <c:v>-2.783794309392825</c:v>
                </c:pt>
                <c:pt idx="4">
                  <c:v>-3.845274998973423</c:v>
                </c:pt>
              </c:numCache>
            </c:numRef>
          </c:xVal>
          <c:yVal>
            <c:numRef>
              <c:f>'PLS-DA Data &amp; Figures'!$B$8:$B$12</c:f>
              <c:numCache>
                <c:formatCode>0.000000</c:formatCode>
                <c:ptCount val="5"/>
                <c:pt idx="0">
                  <c:v>-2.0319994506187791</c:v>
                </c:pt>
                <c:pt idx="1">
                  <c:v>-1.8085378825017879</c:v>
                </c:pt>
                <c:pt idx="2">
                  <c:v>-1.9938895027508079</c:v>
                </c:pt>
                <c:pt idx="3">
                  <c:v>-1.6391724187501551</c:v>
                </c:pt>
                <c:pt idx="4">
                  <c:v>-2.1569105579213881</c:v>
                </c:pt>
              </c:numCache>
            </c:numRef>
          </c:yVal>
          <c:smooth val="0"/>
          <c:extLst>
            <c:ext xmlns:c16="http://schemas.microsoft.com/office/drawing/2014/chart" uri="{C3380CC4-5D6E-409C-BE32-E72D297353CC}">
              <c16:uniqueId val="{00000000-E993-40A5-BD09-C456B8A7F61E}"/>
            </c:ext>
          </c:extLst>
        </c:ser>
        <c:ser>
          <c:idx val="1"/>
          <c:order val="1"/>
          <c:tx>
            <c:v>Group 1</c:v>
          </c:tx>
          <c:spPr>
            <a:ln>
              <a:noFill/>
            </a:ln>
          </c:spPr>
          <c:marker>
            <c:symbol val="x"/>
            <c:size val="8"/>
            <c:spPr>
              <a:solidFill>
                <a:srgbClr val="0077B6"/>
              </a:solidFill>
              <a:ln w="19050">
                <a:solidFill>
                  <a:srgbClr val="0077B6"/>
                </a:solidFill>
              </a:ln>
            </c:spPr>
          </c:marker>
          <c:xVal>
            <c:numRef>
              <c:f>'PLS-DA Data &amp; Figures'!$A$58:$A$62</c:f>
              <c:numCache>
                <c:formatCode>0.000000</c:formatCode>
                <c:ptCount val="5"/>
                <c:pt idx="0">
                  <c:v>-1.767822518417534</c:v>
                </c:pt>
                <c:pt idx="1">
                  <c:v>-1.992570903423988</c:v>
                </c:pt>
                <c:pt idx="2">
                  <c:v>-2.3988776996700558</c:v>
                </c:pt>
                <c:pt idx="3">
                  <c:v>-2.166882235223365</c:v>
                </c:pt>
                <c:pt idx="4">
                  <c:v>-2.807561969677423</c:v>
                </c:pt>
              </c:numCache>
            </c:numRef>
          </c:xVal>
          <c:yVal>
            <c:numRef>
              <c:f>'PLS-DA Data &amp; Figures'!$B$58:$B$62</c:f>
              <c:numCache>
                <c:formatCode>0.000000</c:formatCode>
                <c:ptCount val="5"/>
                <c:pt idx="0">
                  <c:v>-1.843790262267488</c:v>
                </c:pt>
                <c:pt idx="1">
                  <c:v>-2.097620810091668</c:v>
                </c:pt>
                <c:pt idx="2">
                  <c:v>-1.795465421738073</c:v>
                </c:pt>
                <c:pt idx="3">
                  <c:v>-1.5638275898537619</c:v>
                </c:pt>
                <c:pt idx="4">
                  <c:v>-2.4281065492583269</c:v>
                </c:pt>
              </c:numCache>
            </c:numRef>
          </c:yVal>
          <c:smooth val="0"/>
          <c:extLst>
            <c:ext xmlns:c16="http://schemas.microsoft.com/office/drawing/2014/chart" uri="{C3380CC4-5D6E-409C-BE32-E72D297353CC}">
              <c16:uniqueId val="{00000001-E993-40A5-BD09-C456B8A7F61E}"/>
            </c:ext>
          </c:extLst>
        </c:ser>
        <c:ser>
          <c:idx val="2"/>
          <c:order val="2"/>
          <c:tx>
            <c:v>Group 2</c:v>
          </c:tx>
          <c:spPr>
            <a:ln>
              <a:noFill/>
            </a:ln>
          </c:spPr>
          <c:marker>
            <c:symbol val="circle"/>
            <c:size val="7"/>
            <c:spPr>
              <a:solidFill>
                <a:srgbClr val="E69F00">
                  <a:alpha val="85000"/>
                </a:srgbClr>
              </a:solidFill>
              <a:ln w="9525">
                <a:solidFill>
                  <a:srgbClr val="E69F00"/>
                </a:solidFill>
              </a:ln>
            </c:spPr>
          </c:marker>
          <c:xVal>
            <c:numRef>
              <c:f>'PLS-DA Data &amp; Figures'!$A$13:$A$17</c:f>
              <c:numCache>
                <c:formatCode>0.000000</c:formatCode>
                <c:ptCount val="5"/>
                <c:pt idx="0">
                  <c:v>3.1176758206024182</c:v>
                </c:pt>
                <c:pt idx="1">
                  <c:v>3.1245414748089582</c:v>
                </c:pt>
                <c:pt idx="2">
                  <c:v>3.1268300262111381</c:v>
                </c:pt>
                <c:pt idx="3">
                  <c:v>3.378659602810056</c:v>
                </c:pt>
                <c:pt idx="4">
                  <c:v>3.1390356336894309</c:v>
                </c:pt>
              </c:numCache>
            </c:numRef>
          </c:xVal>
          <c:yVal>
            <c:numRef>
              <c:f>'PLS-DA Data &amp; Figures'!$B$13:$B$17</c:f>
              <c:numCache>
                <c:formatCode>0.000000</c:formatCode>
                <c:ptCount val="5"/>
                <c:pt idx="0">
                  <c:v>-1.48794175395249</c:v>
                </c:pt>
                <c:pt idx="1">
                  <c:v>-1.508966432211313</c:v>
                </c:pt>
                <c:pt idx="2">
                  <c:v>-1.5159746582975879</c:v>
                </c:pt>
                <c:pt idx="3">
                  <c:v>-1.3450747858276551</c:v>
                </c:pt>
                <c:pt idx="4">
                  <c:v>-1.5533518640910511</c:v>
                </c:pt>
              </c:numCache>
            </c:numRef>
          </c:yVal>
          <c:smooth val="0"/>
          <c:extLst>
            <c:ext xmlns:c16="http://schemas.microsoft.com/office/drawing/2014/chart" uri="{C3380CC4-5D6E-409C-BE32-E72D297353CC}">
              <c16:uniqueId val="{00000002-E993-40A5-BD09-C456B8A7F61E}"/>
            </c:ext>
          </c:extLst>
        </c:ser>
        <c:ser>
          <c:idx val="3"/>
          <c:order val="3"/>
          <c:tx>
            <c:v>Group 2</c:v>
          </c:tx>
          <c:spPr>
            <a:ln>
              <a:noFill/>
            </a:ln>
          </c:spPr>
          <c:marker>
            <c:symbol val="x"/>
            <c:size val="8"/>
            <c:spPr>
              <a:solidFill>
                <a:srgbClr val="E69F00"/>
              </a:solidFill>
              <a:ln w="19050">
                <a:solidFill>
                  <a:srgbClr val="E69F00"/>
                </a:solidFill>
              </a:ln>
            </c:spPr>
          </c:marker>
          <c:xVal>
            <c:numRef>
              <c:f>'PLS-DA Data &amp; Figures'!$A$63:$A$67</c:f>
              <c:numCache>
                <c:formatCode>0.000000</c:formatCode>
                <c:ptCount val="5"/>
                <c:pt idx="0">
                  <c:v>3.2492825755299268</c:v>
                </c:pt>
                <c:pt idx="1">
                  <c:v>3.2561482297364668</c:v>
                </c:pt>
                <c:pt idx="2">
                  <c:v>2.999741550333189</c:v>
                </c:pt>
                <c:pt idx="3">
                  <c:v>2.9928758961266491</c:v>
                </c:pt>
                <c:pt idx="4">
                  <c:v>3.0012672512679761</c:v>
                </c:pt>
              </c:numCache>
            </c:numRef>
          </c:xVal>
          <c:yVal>
            <c:numRef>
              <c:f>'PLS-DA Data &amp; Figures'!$B$63:$B$67</c:f>
              <c:numCache>
                <c:formatCode>0.000000</c:formatCode>
                <c:ptCount val="5"/>
                <c:pt idx="0">
                  <c:v>-0.69333075431565705</c:v>
                </c:pt>
                <c:pt idx="1">
                  <c:v>-0.71435543257448053</c:v>
                </c:pt>
                <c:pt idx="2">
                  <c:v>-0.87123885287186342</c:v>
                </c:pt>
                <c:pt idx="3">
                  <c:v>-0.85021417461304005</c:v>
                </c:pt>
                <c:pt idx="4">
                  <c:v>-0.87591100359604657</c:v>
                </c:pt>
              </c:numCache>
            </c:numRef>
          </c:yVal>
          <c:smooth val="0"/>
          <c:extLst>
            <c:ext xmlns:c16="http://schemas.microsoft.com/office/drawing/2014/chart" uri="{C3380CC4-5D6E-409C-BE32-E72D297353CC}">
              <c16:uniqueId val="{00000003-E993-40A5-BD09-C456B8A7F61E}"/>
            </c:ext>
          </c:extLst>
        </c:ser>
        <c:ser>
          <c:idx val="4"/>
          <c:order val="4"/>
          <c:tx>
            <c:v>Group 3</c:v>
          </c:tx>
          <c:spPr>
            <a:ln>
              <a:noFill/>
            </a:ln>
          </c:spPr>
          <c:marker>
            <c:symbol val="circle"/>
            <c:size val="7"/>
            <c:spPr>
              <a:solidFill>
                <a:srgbClr val="2F855A">
                  <a:alpha val="85000"/>
                </a:srgbClr>
              </a:solidFill>
              <a:ln w="9525">
                <a:solidFill>
                  <a:srgbClr val="2F855A"/>
                </a:solidFill>
              </a:ln>
            </c:spPr>
          </c:marker>
          <c:xVal>
            <c:numRef>
              <c:f>'PLS-DA Data &amp; Figures'!$A$18:$A$22</c:f>
              <c:numCache>
                <c:formatCode>0.000000</c:formatCode>
                <c:ptCount val="5"/>
                <c:pt idx="0">
                  <c:v>-0.33128344210579508</c:v>
                </c:pt>
                <c:pt idx="1">
                  <c:v>-0.1047135912654111</c:v>
                </c:pt>
                <c:pt idx="2">
                  <c:v>-6.7629683262280318E-2</c:v>
                </c:pt>
                <c:pt idx="3">
                  <c:v>-1.084562236232437</c:v>
                </c:pt>
                <c:pt idx="4">
                  <c:v>4.1088357589376887E-2</c:v>
                </c:pt>
              </c:numCache>
            </c:numRef>
          </c:xVal>
          <c:yVal>
            <c:numRef>
              <c:f>'PLS-DA Data &amp; Figures'!$B$18:$B$22</c:f>
              <c:numCache>
                <c:formatCode>0.000000</c:formatCode>
                <c:ptCount val="5"/>
                <c:pt idx="0">
                  <c:v>-0.72241381943103822</c:v>
                </c:pt>
                <c:pt idx="1">
                  <c:v>-0.14211075822515429</c:v>
                </c:pt>
                <c:pt idx="2">
                  <c:v>-0.58772311507352437</c:v>
                </c:pt>
                <c:pt idx="3">
                  <c:v>1.8940531836013019</c:v>
                </c:pt>
                <c:pt idx="4">
                  <c:v>-1.2718059076731241</c:v>
                </c:pt>
              </c:numCache>
            </c:numRef>
          </c:yVal>
          <c:smooth val="0"/>
          <c:extLst>
            <c:ext xmlns:c16="http://schemas.microsoft.com/office/drawing/2014/chart" uri="{C3380CC4-5D6E-409C-BE32-E72D297353CC}">
              <c16:uniqueId val="{00000004-E993-40A5-BD09-C456B8A7F61E}"/>
            </c:ext>
          </c:extLst>
        </c:ser>
        <c:ser>
          <c:idx val="5"/>
          <c:order val="5"/>
          <c:tx>
            <c:v>Group 3</c:v>
          </c:tx>
          <c:spPr>
            <a:ln>
              <a:noFill/>
            </a:ln>
          </c:spPr>
          <c:marker>
            <c:symbol val="x"/>
            <c:size val="8"/>
            <c:spPr>
              <a:solidFill>
                <a:srgbClr val="2F855A"/>
              </a:solidFill>
              <a:ln w="19050">
                <a:solidFill>
                  <a:srgbClr val="2F855A"/>
                </a:solidFill>
              </a:ln>
            </c:spPr>
          </c:marker>
          <c:xVal>
            <c:numRef>
              <c:f>'PLS-DA Data &amp; Figures'!$A$68:$A$72</c:f>
              <c:numCache>
                <c:formatCode>0.000000</c:formatCode>
                <c:ptCount val="5"/>
                <c:pt idx="0">
                  <c:v>-9.3342747385717101E-2</c:v>
                </c:pt>
                <c:pt idx="1">
                  <c:v>-0.18011604887558011</c:v>
                </c:pt>
                <c:pt idx="2">
                  <c:v>-0.23170406078162711</c:v>
                </c:pt>
                <c:pt idx="3">
                  <c:v>0.22587318820079419</c:v>
                </c:pt>
                <c:pt idx="4">
                  <c:v>-3.9874376092958908E-2</c:v>
                </c:pt>
              </c:numCache>
            </c:numRef>
          </c:xVal>
          <c:yVal>
            <c:numRef>
              <c:f>'PLS-DA Data &amp; Figures'!$B$68:$B$72</c:f>
              <c:numCache>
                <c:formatCode>0.000000</c:formatCode>
                <c:ptCount val="5"/>
                <c:pt idx="0">
                  <c:v>-1.160177685085773</c:v>
                </c:pt>
                <c:pt idx="1">
                  <c:v>-0.23512756584318059</c:v>
                </c:pt>
                <c:pt idx="2">
                  <c:v>0.8171638837715427</c:v>
                </c:pt>
                <c:pt idx="3">
                  <c:v>4.505809608551592E-2</c:v>
                </c:pt>
                <c:pt idx="4">
                  <c:v>-1.0236767782742391</c:v>
                </c:pt>
              </c:numCache>
            </c:numRef>
          </c:yVal>
          <c:smooth val="0"/>
          <c:extLst>
            <c:ext xmlns:c16="http://schemas.microsoft.com/office/drawing/2014/chart" uri="{C3380CC4-5D6E-409C-BE32-E72D297353CC}">
              <c16:uniqueId val="{00000005-E993-40A5-BD09-C456B8A7F61E}"/>
            </c:ext>
          </c:extLst>
        </c:ser>
        <c:ser>
          <c:idx val="6"/>
          <c:order val="6"/>
          <c:tx>
            <c:v>Group 4</c:v>
          </c:tx>
          <c:spPr>
            <a:ln>
              <a:noFill/>
            </a:ln>
          </c:spPr>
          <c:marker>
            <c:symbol val="circle"/>
            <c:size val="7"/>
            <c:spPr>
              <a:solidFill>
                <a:srgbClr val="845EC2">
                  <a:alpha val="85000"/>
                </a:srgbClr>
              </a:solidFill>
              <a:ln w="9525">
                <a:solidFill>
                  <a:srgbClr val="845EC2"/>
                </a:solidFill>
              </a:ln>
            </c:spPr>
          </c:marker>
          <c:xVal>
            <c:numRef>
              <c:f>'PLS-DA Data &amp; Figures'!$A$23:$A$27</c:f>
              <c:numCache>
                <c:formatCode>0.000000</c:formatCode>
                <c:ptCount val="5"/>
                <c:pt idx="0">
                  <c:v>-2.8197387080154881</c:v>
                </c:pt>
                <c:pt idx="1">
                  <c:v>-3.0188052539085679</c:v>
                </c:pt>
                <c:pt idx="2">
                  <c:v>-2.4807084033714109</c:v>
                </c:pt>
                <c:pt idx="3">
                  <c:v>-2.1968933429993589</c:v>
                </c:pt>
                <c:pt idx="4">
                  <c:v>-2.477657001501838</c:v>
                </c:pt>
              </c:numCache>
            </c:numRef>
          </c:xVal>
          <c:yVal>
            <c:numRef>
              <c:f>'PLS-DA Data &amp; Figures'!$B$23:$B$27</c:f>
              <c:numCache>
                <c:formatCode>0.000000</c:formatCode>
                <c:ptCount val="5"/>
                <c:pt idx="0">
                  <c:v>0.85918039708335159</c:v>
                </c:pt>
                <c:pt idx="1">
                  <c:v>1.7339629996939121</c:v>
                </c:pt>
                <c:pt idx="2">
                  <c:v>-0.19969997404107881</c:v>
                </c:pt>
                <c:pt idx="3">
                  <c:v>-0.81632379341201311</c:v>
                </c:pt>
                <c:pt idx="4">
                  <c:v>-0.20904427548944471</c:v>
                </c:pt>
              </c:numCache>
            </c:numRef>
          </c:yVal>
          <c:smooth val="0"/>
          <c:extLst>
            <c:ext xmlns:c16="http://schemas.microsoft.com/office/drawing/2014/chart" uri="{C3380CC4-5D6E-409C-BE32-E72D297353CC}">
              <c16:uniqueId val="{00000006-E993-40A5-BD09-C456B8A7F61E}"/>
            </c:ext>
          </c:extLst>
        </c:ser>
        <c:ser>
          <c:idx val="7"/>
          <c:order val="7"/>
          <c:tx>
            <c:v>Group 4</c:v>
          </c:tx>
          <c:spPr>
            <a:ln>
              <a:noFill/>
            </a:ln>
          </c:spPr>
          <c:marker>
            <c:symbol val="x"/>
            <c:size val="8"/>
            <c:spPr>
              <a:solidFill>
                <a:srgbClr val="845EC2"/>
              </a:solidFill>
              <a:ln w="19050">
                <a:solidFill>
                  <a:srgbClr val="845EC2"/>
                </a:solidFill>
              </a:ln>
            </c:spPr>
          </c:marker>
          <c:xVal>
            <c:numRef>
              <c:f>'PLS-DA Data &amp; Figures'!$A$73:$A$77</c:f>
              <c:numCache>
                <c:formatCode>0.000000</c:formatCode>
                <c:ptCount val="5"/>
                <c:pt idx="0">
                  <c:v>-2.2670134768497281</c:v>
                </c:pt>
                <c:pt idx="1">
                  <c:v>-2.4934572524477949</c:v>
                </c:pt>
                <c:pt idx="2">
                  <c:v>-1.982194650871141</c:v>
                </c:pt>
                <c:pt idx="3">
                  <c:v>-2.1071930419062599</c:v>
                </c:pt>
                <c:pt idx="4">
                  <c:v>-2.6931624519182078</c:v>
                </c:pt>
              </c:numCache>
            </c:numRef>
          </c:xVal>
          <c:yVal>
            <c:numRef>
              <c:f>'PLS-DA Data &amp; Figures'!$B$73:$B$77</c:f>
              <c:numCache>
                <c:formatCode>0.000000</c:formatCode>
                <c:ptCount val="5"/>
                <c:pt idx="0">
                  <c:v>-1.2470498383648621</c:v>
                </c:pt>
                <c:pt idx="1">
                  <c:v>-0.19452411001746631</c:v>
                </c:pt>
                <c:pt idx="2">
                  <c:v>-0.23671684805739501</c:v>
                </c:pt>
                <c:pt idx="3">
                  <c:v>-0.46234018297597351</c:v>
                </c:pt>
                <c:pt idx="4">
                  <c:v>0.99678026389909569</c:v>
                </c:pt>
              </c:numCache>
            </c:numRef>
          </c:yVal>
          <c:smooth val="0"/>
          <c:extLst>
            <c:ext xmlns:c16="http://schemas.microsoft.com/office/drawing/2014/chart" uri="{C3380CC4-5D6E-409C-BE32-E72D297353CC}">
              <c16:uniqueId val="{00000007-E993-40A5-BD09-C456B8A7F61E}"/>
            </c:ext>
          </c:extLst>
        </c:ser>
        <c:ser>
          <c:idx val="8"/>
          <c:order val="8"/>
          <c:tx>
            <c:v>Group 5</c:v>
          </c:tx>
          <c:spPr>
            <a:ln>
              <a:noFill/>
            </a:ln>
          </c:spPr>
          <c:marker>
            <c:symbol val="circle"/>
            <c:size val="7"/>
            <c:spPr>
              <a:solidFill>
                <a:srgbClr val="56B4E9">
                  <a:alpha val="85000"/>
                </a:srgbClr>
              </a:solidFill>
              <a:ln w="9525">
                <a:solidFill>
                  <a:srgbClr val="56B4E9"/>
                </a:solidFill>
              </a:ln>
            </c:spPr>
          </c:marker>
          <c:xVal>
            <c:numRef>
              <c:f>'PLS-DA Data &amp; Figures'!$A$28:$A$32</c:f>
              <c:numCache>
                <c:formatCode>0.000000</c:formatCode>
                <c:ptCount val="5"/>
                <c:pt idx="0">
                  <c:v>1.6124221592585111</c:v>
                </c:pt>
                <c:pt idx="1">
                  <c:v>1.605937930285668</c:v>
                </c:pt>
                <c:pt idx="2">
                  <c:v>1.5864852433671379</c:v>
                </c:pt>
                <c:pt idx="3">
                  <c:v>1.847087600341079</c:v>
                </c:pt>
                <c:pt idx="4">
                  <c:v>1.631493420943344</c:v>
                </c:pt>
              </c:numCache>
            </c:numRef>
          </c:xVal>
          <c:yVal>
            <c:numRef>
              <c:f>'PLS-DA Data &amp; Figures'!$B$28:$B$32</c:f>
              <c:numCache>
                <c:formatCode>0.000000</c:formatCode>
                <c:ptCount val="5"/>
                <c:pt idx="0">
                  <c:v>-0.13496706333465991</c:v>
                </c:pt>
                <c:pt idx="1">
                  <c:v>-0.1151104227568822</c:v>
                </c:pt>
                <c:pt idx="2">
                  <c:v>-5.5540501023549183E-2</c:v>
                </c:pt>
                <c:pt idx="3">
                  <c:v>8.8494504782330674E-2</c:v>
                </c:pt>
                <c:pt idx="4">
                  <c:v>-0.19336894738694721</c:v>
                </c:pt>
              </c:numCache>
            </c:numRef>
          </c:yVal>
          <c:smooth val="0"/>
          <c:extLst>
            <c:ext xmlns:c16="http://schemas.microsoft.com/office/drawing/2014/chart" uri="{C3380CC4-5D6E-409C-BE32-E72D297353CC}">
              <c16:uniqueId val="{00000008-E993-40A5-BD09-C456B8A7F61E}"/>
            </c:ext>
          </c:extLst>
        </c:ser>
        <c:ser>
          <c:idx val="9"/>
          <c:order val="9"/>
          <c:tx>
            <c:v>Group 5</c:v>
          </c:tx>
          <c:spPr>
            <a:ln>
              <a:noFill/>
            </a:ln>
          </c:spPr>
          <c:marker>
            <c:symbol val="x"/>
            <c:size val="8"/>
            <c:spPr>
              <a:solidFill>
                <a:srgbClr val="56B4E9"/>
              </a:solidFill>
              <a:ln w="19050">
                <a:solidFill>
                  <a:srgbClr val="56B4E9"/>
                </a:solidFill>
              </a:ln>
            </c:spPr>
          </c:marker>
          <c:xVal>
            <c:numRef>
              <c:f>'PLS-DA Data &amp; Figures'!$A$78:$A$82</c:f>
              <c:numCache>
                <c:formatCode>0.000000</c:formatCode>
                <c:ptCount val="5"/>
                <c:pt idx="0">
                  <c:v>1.465937306432969</c:v>
                </c:pt>
                <c:pt idx="1">
                  <c:v>1.499121301764579</c:v>
                </c:pt>
                <c:pt idx="2">
                  <c:v>1.2442403232960879</c:v>
                </c:pt>
                <c:pt idx="3">
                  <c:v>1.1595639214154281</c:v>
                </c:pt>
                <c:pt idx="4">
                  <c:v>1.2102934774970839</c:v>
                </c:pt>
              </c:numCache>
            </c:numRef>
          </c:xVal>
          <c:yVal>
            <c:numRef>
              <c:f>'PLS-DA Data &amp; Figures'!$B$78:$B$82</c:f>
              <c:numCache>
                <c:formatCode>0.000000</c:formatCode>
                <c:ptCount val="5"/>
                <c:pt idx="0">
                  <c:v>-0.22006556867212379</c:v>
                </c:pt>
                <c:pt idx="1">
                  <c:v>-0.3216848469231034</c:v>
                </c:pt>
                <c:pt idx="2">
                  <c:v>-0.48324041794466938</c:v>
                </c:pt>
                <c:pt idx="3">
                  <c:v>-0.2239360527525143</c:v>
                </c:pt>
                <c:pt idx="4">
                  <c:v>-0.37928506433159809</c:v>
                </c:pt>
              </c:numCache>
            </c:numRef>
          </c:yVal>
          <c:smooth val="0"/>
          <c:extLst>
            <c:ext xmlns:c16="http://schemas.microsoft.com/office/drawing/2014/chart" uri="{C3380CC4-5D6E-409C-BE32-E72D297353CC}">
              <c16:uniqueId val="{00000009-E993-40A5-BD09-C456B8A7F61E}"/>
            </c:ext>
          </c:extLst>
        </c:ser>
        <c:ser>
          <c:idx val="10"/>
          <c:order val="10"/>
          <c:tx>
            <c:v>Group 6</c:v>
          </c:tx>
          <c:spPr>
            <a:ln>
              <a:noFill/>
            </a:ln>
          </c:spPr>
          <c:marker>
            <c:symbol val="circle"/>
            <c:size val="7"/>
            <c:spPr>
              <a:solidFill>
                <a:srgbClr val="C76B00">
                  <a:alpha val="85000"/>
                </a:srgbClr>
              </a:solidFill>
              <a:ln w="9525">
                <a:solidFill>
                  <a:srgbClr val="C76B00"/>
                </a:solidFill>
              </a:ln>
            </c:spPr>
          </c:marker>
          <c:xVal>
            <c:numRef>
              <c:f>'PLS-DA Data &amp; Figures'!$A$33:$A$37</c:f>
              <c:numCache>
                <c:formatCode>0.000000</c:formatCode>
                <c:ptCount val="5"/>
                <c:pt idx="0">
                  <c:v>3.3050928140934062</c:v>
                </c:pt>
                <c:pt idx="1">
                  <c:v>3.055933214130365</c:v>
                </c:pt>
                <c:pt idx="2">
                  <c:v>3.039531929081408</c:v>
                </c:pt>
                <c:pt idx="3">
                  <c:v>2.795330857156423</c:v>
                </c:pt>
                <c:pt idx="4">
                  <c:v>3.052500387027095</c:v>
                </c:pt>
              </c:numCache>
            </c:numRef>
          </c:xVal>
          <c:yVal>
            <c:numRef>
              <c:f>'PLS-DA Data &amp; Figures'!$B$33:$B$37</c:f>
              <c:numCache>
                <c:formatCode>0.000000</c:formatCode>
                <c:ptCount val="5"/>
                <c:pt idx="0">
                  <c:v>0.65270967870169361</c:v>
                </c:pt>
                <c:pt idx="1">
                  <c:v>0.47363354246444128</c:v>
                </c:pt>
                <c:pt idx="2">
                  <c:v>0.52385916274940869</c:v>
                </c:pt>
                <c:pt idx="3">
                  <c:v>0.32959853665856143</c:v>
                </c:pt>
                <c:pt idx="4">
                  <c:v>0.48414588159385302</c:v>
                </c:pt>
              </c:numCache>
            </c:numRef>
          </c:yVal>
          <c:smooth val="0"/>
          <c:extLst>
            <c:ext xmlns:c16="http://schemas.microsoft.com/office/drawing/2014/chart" uri="{C3380CC4-5D6E-409C-BE32-E72D297353CC}">
              <c16:uniqueId val="{0000000A-E993-40A5-BD09-C456B8A7F61E}"/>
            </c:ext>
          </c:extLst>
        </c:ser>
        <c:ser>
          <c:idx val="11"/>
          <c:order val="11"/>
          <c:tx>
            <c:v>Group 6</c:v>
          </c:tx>
          <c:spPr>
            <a:ln>
              <a:noFill/>
            </a:ln>
          </c:spPr>
          <c:marker>
            <c:symbol val="x"/>
            <c:size val="8"/>
            <c:spPr>
              <a:solidFill>
                <a:srgbClr val="C76B00"/>
              </a:solidFill>
              <a:ln w="19050">
                <a:solidFill>
                  <a:srgbClr val="C76B00"/>
                </a:solidFill>
              </a:ln>
            </c:spPr>
          </c:marker>
          <c:xVal>
            <c:numRef>
              <c:f>'PLS-DA Data &amp; Figures'!$A$83:$A$87</c:f>
              <c:numCache>
                <c:formatCode>0.000000</c:formatCode>
                <c:ptCount val="5"/>
                <c:pt idx="0">
                  <c:v>1.482616894200647</c:v>
                </c:pt>
                <c:pt idx="1">
                  <c:v>1.244137200781112</c:v>
                </c:pt>
                <c:pt idx="2">
                  <c:v>1.8027215876312681</c:v>
                </c:pt>
                <c:pt idx="3">
                  <c:v>1.307453789574758</c:v>
                </c:pt>
                <c:pt idx="4">
                  <c:v>2.186142869855535</c:v>
                </c:pt>
              </c:numCache>
            </c:numRef>
          </c:xVal>
          <c:yVal>
            <c:numRef>
              <c:f>'PLS-DA Data &amp; Figures'!$B$83:$B$87</c:f>
              <c:numCache>
                <c:formatCode>0.000000</c:formatCode>
                <c:ptCount val="5"/>
                <c:pt idx="0">
                  <c:v>3.2999813307242998E-2</c:v>
                </c:pt>
                <c:pt idx="1">
                  <c:v>-0.1787813779992902</c:v>
                </c:pt>
                <c:pt idx="2">
                  <c:v>-5.1790591300132083E-3</c:v>
                </c:pt>
                <c:pt idx="3">
                  <c:v>-0.3726756330528837</c:v>
                </c:pt>
                <c:pt idx="4">
                  <c:v>-0.23725218662086339</c:v>
                </c:pt>
              </c:numCache>
            </c:numRef>
          </c:yVal>
          <c:smooth val="0"/>
          <c:extLst>
            <c:ext xmlns:c16="http://schemas.microsoft.com/office/drawing/2014/chart" uri="{C3380CC4-5D6E-409C-BE32-E72D297353CC}">
              <c16:uniqueId val="{0000000B-E993-40A5-BD09-C456B8A7F61E}"/>
            </c:ext>
          </c:extLst>
        </c:ser>
        <c:ser>
          <c:idx val="12"/>
          <c:order val="12"/>
          <c:tx>
            <c:v>Group 7</c:v>
          </c:tx>
          <c:spPr>
            <a:ln>
              <a:noFill/>
            </a:ln>
          </c:spPr>
          <c:marker>
            <c:symbol val="circle"/>
            <c:size val="7"/>
            <c:spPr>
              <a:solidFill>
                <a:srgbClr val="7FA638">
                  <a:alpha val="85000"/>
                </a:srgbClr>
              </a:solidFill>
              <a:ln w="9525">
                <a:solidFill>
                  <a:srgbClr val="7FA638"/>
                </a:solidFill>
              </a:ln>
            </c:spPr>
          </c:marker>
          <c:xVal>
            <c:numRef>
              <c:f>'PLS-DA Data &amp; Figures'!$A$38:$A$42</c:f>
              <c:numCache>
                <c:formatCode>0.000000</c:formatCode>
                <c:ptCount val="5"/>
                <c:pt idx="0">
                  <c:v>-0.42008143801426551</c:v>
                </c:pt>
                <c:pt idx="1">
                  <c:v>-0.2209623547519336</c:v>
                </c:pt>
                <c:pt idx="2">
                  <c:v>-0.76181450157028796</c:v>
                </c:pt>
                <c:pt idx="3">
                  <c:v>-0.359053400622799</c:v>
                </c:pt>
                <c:pt idx="4">
                  <c:v>-3.009026648260044E-2</c:v>
                </c:pt>
              </c:numCache>
            </c:numRef>
          </c:xVal>
          <c:yVal>
            <c:numRef>
              <c:f>'PLS-DA Data &amp; Figures'!$B$38:$B$42</c:f>
              <c:numCache>
                <c:formatCode>0.000000</c:formatCode>
                <c:ptCount val="5"/>
                <c:pt idx="0">
                  <c:v>0.70399329302191627</c:v>
                </c:pt>
                <c:pt idx="1">
                  <c:v>1.0172030137615311</c:v>
                </c:pt>
                <c:pt idx="2">
                  <c:v>1.72975531997162</c:v>
                </c:pt>
                <c:pt idx="3">
                  <c:v>0.51710726405459717</c:v>
                </c:pt>
                <c:pt idx="4">
                  <c:v>0.1197508231663562</c:v>
                </c:pt>
              </c:numCache>
            </c:numRef>
          </c:yVal>
          <c:smooth val="0"/>
          <c:extLst>
            <c:ext xmlns:c16="http://schemas.microsoft.com/office/drawing/2014/chart" uri="{C3380CC4-5D6E-409C-BE32-E72D297353CC}">
              <c16:uniqueId val="{0000000C-E993-40A5-BD09-C456B8A7F61E}"/>
            </c:ext>
          </c:extLst>
        </c:ser>
        <c:ser>
          <c:idx val="13"/>
          <c:order val="13"/>
          <c:tx>
            <c:v>Group 7</c:v>
          </c:tx>
          <c:spPr>
            <a:ln>
              <a:noFill/>
            </a:ln>
          </c:spPr>
          <c:marker>
            <c:symbol val="x"/>
            <c:size val="8"/>
            <c:spPr>
              <a:solidFill>
                <a:srgbClr val="7FA638"/>
              </a:solidFill>
              <a:ln w="19050">
                <a:solidFill>
                  <a:srgbClr val="7FA638"/>
                </a:solidFill>
              </a:ln>
            </c:spPr>
          </c:marker>
          <c:xVal>
            <c:numRef>
              <c:f>'PLS-DA Data &amp; Figures'!$A$88:$A$92</c:f>
              <c:numCache>
                <c:formatCode>0.000000</c:formatCode>
                <c:ptCount val="5"/>
                <c:pt idx="0">
                  <c:v>-1.175402684952056</c:v>
                </c:pt>
                <c:pt idx="1">
                  <c:v>-6.1446662894574337E-2</c:v>
                </c:pt>
                <c:pt idx="2">
                  <c:v>-0.95727267083094691</c:v>
                </c:pt>
                <c:pt idx="3">
                  <c:v>-0.76434583422023727</c:v>
                </c:pt>
                <c:pt idx="4">
                  <c:v>-0.61999577521378935</c:v>
                </c:pt>
              </c:numCache>
            </c:numRef>
          </c:xVal>
          <c:yVal>
            <c:numRef>
              <c:f>'PLS-DA Data &amp; Figures'!$B$88:$B$92</c:f>
              <c:numCache>
                <c:formatCode>0.000000</c:formatCode>
                <c:ptCount val="5"/>
                <c:pt idx="0">
                  <c:v>0.80620280432413938</c:v>
                </c:pt>
                <c:pt idx="1">
                  <c:v>0.15754199997399179</c:v>
                </c:pt>
                <c:pt idx="2">
                  <c:v>1.3279979576688019</c:v>
                </c:pt>
                <c:pt idx="3">
                  <c:v>0.46246428209765872</c:v>
                </c:pt>
                <c:pt idx="4">
                  <c:v>-0.64367936491149813</c:v>
                </c:pt>
              </c:numCache>
            </c:numRef>
          </c:yVal>
          <c:smooth val="0"/>
          <c:extLst>
            <c:ext xmlns:c16="http://schemas.microsoft.com/office/drawing/2014/chart" uri="{C3380CC4-5D6E-409C-BE32-E72D297353CC}">
              <c16:uniqueId val="{0000000D-E993-40A5-BD09-C456B8A7F61E}"/>
            </c:ext>
          </c:extLst>
        </c:ser>
        <c:ser>
          <c:idx val="14"/>
          <c:order val="14"/>
          <c:tx>
            <c:v>Group 8</c:v>
          </c:tx>
          <c:spPr>
            <a:ln>
              <a:noFill/>
            </a:ln>
          </c:spPr>
          <c:marker>
            <c:symbol val="circle"/>
            <c:size val="7"/>
            <c:spPr>
              <a:solidFill>
                <a:srgbClr val="929292">
                  <a:alpha val="85000"/>
                </a:srgbClr>
              </a:solidFill>
              <a:ln w="9525">
                <a:solidFill>
                  <a:srgbClr val="929292"/>
                </a:solidFill>
              </a:ln>
            </c:spPr>
          </c:marker>
          <c:xVal>
            <c:numRef>
              <c:f>'PLS-DA Data &amp; Figures'!$A$43:$A$47</c:f>
              <c:numCache>
                <c:formatCode>0.000000</c:formatCode>
                <c:ptCount val="5"/>
                <c:pt idx="0">
                  <c:v>-1.5970968757459629</c:v>
                </c:pt>
                <c:pt idx="1">
                  <c:v>-1.508518930181501</c:v>
                </c:pt>
                <c:pt idx="2">
                  <c:v>-1.1250103566103959</c:v>
                </c:pt>
                <c:pt idx="3">
                  <c:v>-1.5367443974750541</c:v>
                </c:pt>
                <c:pt idx="4">
                  <c:v>-2.33397816740157</c:v>
                </c:pt>
              </c:numCache>
            </c:numRef>
          </c:xVal>
          <c:yVal>
            <c:numRef>
              <c:f>'PLS-DA Data &amp; Figures'!$B$43:$B$47</c:f>
              <c:numCache>
                <c:formatCode>0.000000</c:formatCode>
                <c:ptCount val="5"/>
                <c:pt idx="0">
                  <c:v>0.52420737682941754</c:v>
                </c:pt>
                <c:pt idx="1">
                  <c:v>0.55796865491340031</c:v>
                </c:pt>
                <c:pt idx="2">
                  <c:v>0.63064154750914558</c:v>
                </c:pt>
                <c:pt idx="3">
                  <c:v>0.64440344331078525</c:v>
                </c:pt>
                <c:pt idx="4">
                  <c:v>1.560704058582369</c:v>
                </c:pt>
              </c:numCache>
            </c:numRef>
          </c:yVal>
          <c:smooth val="0"/>
          <c:extLst>
            <c:ext xmlns:c16="http://schemas.microsoft.com/office/drawing/2014/chart" uri="{C3380CC4-5D6E-409C-BE32-E72D297353CC}">
              <c16:uniqueId val="{0000000E-E993-40A5-BD09-C456B8A7F61E}"/>
            </c:ext>
          </c:extLst>
        </c:ser>
        <c:ser>
          <c:idx val="15"/>
          <c:order val="15"/>
          <c:tx>
            <c:v>Group 8</c:v>
          </c:tx>
          <c:spPr>
            <a:ln>
              <a:noFill/>
            </a:ln>
          </c:spPr>
          <c:marker>
            <c:symbol val="x"/>
            <c:size val="8"/>
            <c:spPr>
              <a:solidFill>
                <a:srgbClr val="929292"/>
              </a:solidFill>
              <a:ln w="19050">
                <a:solidFill>
                  <a:srgbClr val="929292"/>
                </a:solidFill>
              </a:ln>
            </c:spPr>
          </c:marker>
          <c:xVal>
            <c:numRef>
              <c:f>'PLS-DA Data &amp; Figures'!$A$93:$A$97</c:f>
              <c:numCache>
                <c:formatCode>0.000000</c:formatCode>
                <c:ptCount val="5"/>
                <c:pt idx="0">
                  <c:v>-0.78770413596712852</c:v>
                </c:pt>
                <c:pt idx="1">
                  <c:v>-1.1253662393959041</c:v>
                </c:pt>
                <c:pt idx="2">
                  <c:v>-0.72744916727888076</c:v>
                </c:pt>
                <c:pt idx="3">
                  <c:v>-1.0836394841721531</c:v>
                </c:pt>
                <c:pt idx="4">
                  <c:v>-0.41107143483838959</c:v>
                </c:pt>
              </c:numCache>
            </c:numRef>
          </c:xVal>
          <c:yVal>
            <c:numRef>
              <c:f>'PLS-DA Data &amp; Figures'!$B$93:$B$97</c:f>
              <c:numCache>
                <c:formatCode>0.000000</c:formatCode>
                <c:ptCount val="5"/>
                <c:pt idx="0">
                  <c:v>-0.66440089257815127</c:v>
                </c:pt>
                <c:pt idx="1">
                  <c:v>-0.22130023331122761</c:v>
                </c:pt>
                <c:pt idx="2">
                  <c:v>0.13929992919171219</c:v>
                </c:pt>
                <c:pt idx="3">
                  <c:v>1.218887063878469</c:v>
                </c:pt>
                <c:pt idx="4">
                  <c:v>0.41754745365150869</c:v>
                </c:pt>
              </c:numCache>
            </c:numRef>
          </c:yVal>
          <c:smooth val="0"/>
          <c:extLst>
            <c:ext xmlns:c16="http://schemas.microsoft.com/office/drawing/2014/chart" uri="{C3380CC4-5D6E-409C-BE32-E72D297353CC}">
              <c16:uniqueId val="{0000000F-E993-40A5-BD09-C456B8A7F61E}"/>
            </c:ext>
          </c:extLst>
        </c:ser>
        <c:ser>
          <c:idx val="16"/>
          <c:order val="16"/>
          <c:tx>
            <c:v>Group 9</c:v>
          </c:tx>
          <c:spPr>
            <a:ln>
              <a:noFill/>
            </a:ln>
          </c:spPr>
          <c:marker>
            <c:symbol val="circle"/>
            <c:size val="7"/>
            <c:spPr>
              <a:solidFill>
                <a:srgbClr val="004C70">
                  <a:alpha val="85000"/>
                </a:srgbClr>
              </a:solidFill>
              <a:ln w="9525">
                <a:solidFill>
                  <a:srgbClr val="004C70"/>
                </a:solidFill>
              </a:ln>
            </c:spPr>
          </c:marker>
          <c:xVal>
            <c:numRef>
              <c:f>'PLS-DA Data &amp; Figures'!$A$48:$A$52</c:f>
              <c:numCache>
                <c:formatCode>0.000000</c:formatCode>
                <c:ptCount val="5"/>
                <c:pt idx="0">
                  <c:v>1.6618588273664141</c:v>
                </c:pt>
                <c:pt idx="1">
                  <c:v>0.99886528611980574</c:v>
                </c:pt>
                <c:pt idx="2">
                  <c:v>1.3555223478920959</c:v>
                </c:pt>
                <c:pt idx="3">
                  <c:v>1.235177022313422</c:v>
                </c:pt>
                <c:pt idx="4">
                  <c:v>0.67983071661459471</c:v>
                </c:pt>
              </c:numCache>
            </c:numRef>
          </c:xVal>
          <c:yVal>
            <c:numRef>
              <c:f>'PLS-DA Data &amp; Figures'!$B$48:$B$52</c:f>
              <c:numCache>
                <c:formatCode>0.000000</c:formatCode>
                <c:ptCount val="5"/>
                <c:pt idx="0">
                  <c:v>1.114363169412957</c:v>
                </c:pt>
                <c:pt idx="1">
                  <c:v>0.97140060226546177</c:v>
                </c:pt>
                <c:pt idx="2">
                  <c:v>1.119932361189881</c:v>
                </c:pt>
                <c:pt idx="3">
                  <c:v>1.791857904934278</c:v>
                </c:pt>
                <c:pt idx="4">
                  <c:v>2.5487956430241052</c:v>
                </c:pt>
              </c:numCache>
            </c:numRef>
          </c:yVal>
          <c:smooth val="0"/>
          <c:extLst>
            <c:ext xmlns:c16="http://schemas.microsoft.com/office/drawing/2014/chart" uri="{C3380CC4-5D6E-409C-BE32-E72D297353CC}">
              <c16:uniqueId val="{00000010-E993-40A5-BD09-C456B8A7F61E}"/>
            </c:ext>
          </c:extLst>
        </c:ser>
        <c:ser>
          <c:idx val="17"/>
          <c:order val="17"/>
          <c:tx>
            <c:v>Group 9</c:v>
          </c:tx>
          <c:spPr>
            <a:ln>
              <a:noFill/>
            </a:ln>
          </c:spPr>
          <c:marker>
            <c:symbol val="x"/>
            <c:size val="8"/>
            <c:spPr>
              <a:solidFill>
                <a:srgbClr val="004C70"/>
              </a:solidFill>
              <a:ln w="19050">
                <a:solidFill>
                  <a:srgbClr val="004C70"/>
                </a:solidFill>
              </a:ln>
            </c:spPr>
          </c:marker>
          <c:xVal>
            <c:numRef>
              <c:f>'PLS-DA Data &amp; Figures'!$A$98:$A$102</c:f>
              <c:numCache>
                <c:formatCode>0.000000</c:formatCode>
                <c:ptCount val="5"/>
                <c:pt idx="0">
                  <c:v>-0.116623906679634</c:v>
                </c:pt>
                <c:pt idx="1">
                  <c:v>1.0423030242439431</c:v>
                </c:pt>
                <c:pt idx="2">
                  <c:v>0.44076899073687781</c:v>
                </c:pt>
                <c:pt idx="3">
                  <c:v>0.28261861687652517</c:v>
                </c:pt>
                <c:pt idx="4">
                  <c:v>0.39696378867553528</c:v>
                </c:pt>
              </c:numCache>
            </c:numRef>
          </c:xVal>
          <c:yVal>
            <c:numRef>
              <c:f>'PLS-DA Data &amp; Figures'!$B$98:$B$102</c:f>
              <c:numCache>
                <c:formatCode>0.000000</c:formatCode>
                <c:ptCount val="5"/>
                <c:pt idx="0">
                  <c:v>3.6060769451119128E-2</c:v>
                </c:pt>
                <c:pt idx="1">
                  <c:v>0.2111575941759731</c:v>
                </c:pt>
                <c:pt idx="2">
                  <c:v>1.737046937688548</c:v>
                </c:pt>
                <c:pt idx="3">
                  <c:v>-0.28869360874231981</c:v>
                </c:pt>
                <c:pt idx="4">
                  <c:v>0.96732523247794555</c:v>
                </c:pt>
              </c:numCache>
            </c:numRef>
          </c:yVal>
          <c:smooth val="0"/>
          <c:extLst>
            <c:ext xmlns:c16="http://schemas.microsoft.com/office/drawing/2014/chart" uri="{C3380CC4-5D6E-409C-BE32-E72D297353CC}">
              <c16:uniqueId val="{00000011-E993-40A5-BD09-C456B8A7F61E}"/>
            </c:ext>
          </c:extLst>
        </c:ser>
        <c:ser>
          <c:idx val="18"/>
          <c:order val="18"/>
          <c:tx>
            <c:v>Group 10</c:v>
          </c:tx>
          <c:spPr>
            <a:ln>
              <a:noFill/>
            </a:ln>
          </c:spPr>
          <c:marker>
            <c:symbol val="circle"/>
            <c:size val="7"/>
            <c:spPr>
              <a:solidFill>
                <a:srgbClr val="AA4499">
                  <a:alpha val="85000"/>
                </a:srgbClr>
              </a:solidFill>
              <a:ln w="9525">
                <a:solidFill>
                  <a:srgbClr val="AA4499"/>
                </a:solidFill>
              </a:ln>
            </c:spPr>
          </c:marker>
          <c:xVal>
            <c:numRef>
              <c:f>'PLS-DA Data &amp; Figures'!$A$53:$A$57</c:f>
              <c:numCache>
                <c:formatCode>0.000000</c:formatCode>
                <c:ptCount val="5"/>
                <c:pt idx="0">
                  <c:v>-0.1687482554030493</c:v>
                </c:pt>
                <c:pt idx="1">
                  <c:v>-0.55286793400149903</c:v>
                </c:pt>
                <c:pt idx="2">
                  <c:v>-0.97374304090371977</c:v>
                </c:pt>
                <c:pt idx="3">
                  <c:v>-1.1138502985604559</c:v>
                </c:pt>
                <c:pt idx="4">
                  <c:v>-0.34505400471774522</c:v>
                </c:pt>
              </c:numCache>
            </c:numRef>
          </c:xVal>
          <c:yVal>
            <c:numRef>
              <c:f>'PLS-DA Data &amp; Figures'!$B$53:$B$57</c:f>
              <c:numCache>
                <c:formatCode>0.000000</c:formatCode>
                <c:ptCount val="5"/>
                <c:pt idx="0">
                  <c:v>1.0125585665667169</c:v>
                </c:pt>
                <c:pt idx="1">
                  <c:v>0.94812552067759048</c:v>
                </c:pt>
                <c:pt idx="2">
                  <c:v>2.837386622275448</c:v>
                </c:pt>
                <c:pt idx="3">
                  <c:v>2.9518707552753249</c:v>
                </c:pt>
                <c:pt idx="4">
                  <c:v>1.2474459551232551</c:v>
                </c:pt>
              </c:numCache>
            </c:numRef>
          </c:yVal>
          <c:smooth val="0"/>
          <c:extLst>
            <c:ext xmlns:c16="http://schemas.microsoft.com/office/drawing/2014/chart" uri="{C3380CC4-5D6E-409C-BE32-E72D297353CC}">
              <c16:uniqueId val="{00000012-E993-40A5-BD09-C456B8A7F61E}"/>
            </c:ext>
          </c:extLst>
        </c:ser>
        <c:ser>
          <c:idx val="19"/>
          <c:order val="19"/>
          <c:tx>
            <c:v>Group 10</c:v>
          </c:tx>
          <c:spPr>
            <a:ln>
              <a:noFill/>
            </a:ln>
          </c:spPr>
          <c:marker>
            <c:symbol val="x"/>
            <c:size val="8"/>
            <c:spPr>
              <a:solidFill>
                <a:srgbClr val="AA4499"/>
              </a:solidFill>
              <a:ln w="19050">
                <a:solidFill>
                  <a:srgbClr val="AA4499"/>
                </a:solidFill>
              </a:ln>
            </c:spPr>
          </c:marker>
          <c:xVal>
            <c:numRef>
              <c:f>'PLS-DA Data &amp; Figures'!$A$103:$A$107</c:f>
              <c:numCache>
                <c:formatCode>0.000000</c:formatCode>
                <c:ptCount val="5"/>
                <c:pt idx="0">
                  <c:v>-1.2925370278874231</c:v>
                </c:pt>
                <c:pt idx="1">
                  <c:v>-0.72881493144033493</c:v>
                </c:pt>
                <c:pt idx="2">
                  <c:v>-0.40985451371080373</c:v>
                </c:pt>
                <c:pt idx="3">
                  <c:v>-0.68740317565555376</c:v>
                </c:pt>
                <c:pt idx="4">
                  <c:v>-1.399632064002051</c:v>
                </c:pt>
              </c:numCache>
            </c:numRef>
          </c:xVal>
          <c:yVal>
            <c:numRef>
              <c:f>'PLS-DA Data &amp; Figures'!$B$103:$B$107</c:f>
              <c:numCache>
                <c:formatCode>0.000000</c:formatCode>
                <c:ptCount val="5"/>
                <c:pt idx="0">
                  <c:v>0.2504893664786364</c:v>
                </c:pt>
                <c:pt idx="1">
                  <c:v>6.1023797263263679E-2</c:v>
                </c:pt>
                <c:pt idx="2">
                  <c:v>2.6349037869144332E-2</c:v>
                </c:pt>
                <c:pt idx="3">
                  <c:v>0.27899597218631172</c:v>
                </c:pt>
                <c:pt idx="4">
                  <c:v>2.4440740129043541</c:v>
                </c:pt>
              </c:numCache>
            </c:numRef>
          </c:yVal>
          <c:smooth val="0"/>
          <c:extLst>
            <c:ext xmlns:c16="http://schemas.microsoft.com/office/drawing/2014/chart" uri="{C3380CC4-5D6E-409C-BE32-E72D297353CC}">
              <c16:uniqueId val="{00000013-E993-40A5-BD09-C456B8A7F61E}"/>
            </c:ext>
          </c:extLst>
        </c:ser>
        <c:dLbls>
          <c:showLegendKey val="0"/>
          <c:showVal val="0"/>
          <c:showCatName val="0"/>
          <c:showSerName val="0"/>
          <c:showPercent val="0"/>
          <c:showBubbleSize val="0"/>
        </c:dLbls>
        <c:axId val="50010001"/>
        <c:axId val="50010002"/>
      </c:scatterChart>
      <c:valAx>
        <c:axId val="50010001"/>
        <c:scaling>
          <c:orientation val="minMax"/>
          <c:max val="3.7"/>
          <c:min val="-4.2"/>
        </c:scaling>
        <c:delete val="0"/>
        <c:axPos val="b"/>
        <c:majorGridlines>
          <c:spPr>
            <a:ln w="6350">
              <a:solidFill>
                <a:srgbClr val="DDE5EB"/>
              </a:solidFill>
              <a:prstDash val="dash"/>
            </a:ln>
          </c:spPr>
        </c:majorGridlines>
        <c:title>
          <c:tx>
            <c:rich>
              <a:bodyPr/>
              <a:lstStyle/>
              <a:p>
                <a:pPr>
                  <a:defRPr sz="1200" baseline="0">
                    <a:solidFill>
                      <a:srgbClr val="143A52"/>
                    </a:solidFill>
                    <a:latin typeface="Calibri"/>
                  </a:defRPr>
                </a:pPr>
                <a:r>
                  <a:rPr lang="en-US" sz="1200" baseline="0">
                    <a:solidFill>
                      <a:srgbClr val="143A52"/>
                    </a:solidFill>
                    <a:latin typeface="Calibri"/>
                  </a:rPr>
                  <a:t>Latent Variable 1 (Primary Discriminator)</a:t>
                </a:r>
              </a:p>
            </c:rich>
          </c:tx>
          <c:overlay val="0"/>
        </c:title>
        <c:numFmt formatCode="0" sourceLinked="0"/>
        <c:majorTickMark val="out"/>
        <c:minorTickMark val="none"/>
        <c:tickLblPos val="low"/>
        <c:spPr>
          <a:ln>
            <a:solidFill>
              <a:srgbClr val="8297A4"/>
            </a:solidFill>
          </a:ln>
        </c:spPr>
        <c:txPr>
          <a:bodyPr/>
          <a:lstStyle/>
          <a:p>
            <a:pPr>
              <a:defRPr sz="1100" baseline="0">
                <a:solidFill>
                  <a:srgbClr val="143A52"/>
                </a:solidFill>
                <a:latin typeface="Calibri"/>
              </a:defRPr>
            </a:pPr>
            <a:endParaRPr lang="en-US"/>
          </a:p>
        </c:txPr>
        <c:crossAx val="50010002"/>
        <c:crosses val="min"/>
        <c:crossBetween val="midCat"/>
        <c:majorUnit val="1"/>
      </c:valAx>
      <c:valAx>
        <c:axId val="50010002"/>
        <c:scaling>
          <c:orientation val="minMax"/>
          <c:max val="3.25"/>
          <c:min val="-2.7"/>
        </c:scaling>
        <c:delete val="0"/>
        <c:axPos val="l"/>
        <c:majorGridlines>
          <c:spPr>
            <a:ln w="6350">
              <a:solidFill>
                <a:srgbClr val="DDE5EB"/>
              </a:solidFill>
              <a:prstDash val="dash"/>
            </a:ln>
          </c:spPr>
        </c:majorGridlines>
        <c:title>
          <c:tx>
            <c:rich>
              <a:bodyPr rot="-5400000" vert="horz"/>
              <a:lstStyle/>
              <a:p>
                <a:pPr>
                  <a:defRPr sz="1200" baseline="0">
                    <a:solidFill>
                      <a:srgbClr val="143A52"/>
                    </a:solidFill>
                    <a:latin typeface="Calibri"/>
                  </a:defRPr>
                </a:pPr>
                <a:r>
                  <a:rPr lang="en-US" sz="1200" baseline="0">
                    <a:solidFill>
                      <a:srgbClr val="143A52"/>
                    </a:solidFill>
                    <a:latin typeface="Calibri"/>
                  </a:rPr>
                  <a:t>Latent Variable 2 (Secondary Discriminator)</a:t>
                </a:r>
              </a:p>
            </c:rich>
          </c:tx>
          <c:overlay val="0"/>
        </c:title>
        <c:numFmt formatCode="0" sourceLinked="0"/>
        <c:majorTickMark val="out"/>
        <c:minorTickMark val="none"/>
        <c:tickLblPos val="low"/>
        <c:spPr>
          <a:ln>
            <a:solidFill>
              <a:srgbClr val="8297A4"/>
            </a:solidFill>
          </a:ln>
        </c:spPr>
        <c:txPr>
          <a:bodyPr/>
          <a:lstStyle/>
          <a:p>
            <a:pPr>
              <a:defRPr sz="1100" baseline="0">
                <a:solidFill>
                  <a:srgbClr val="143A52"/>
                </a:solidFill>
                <a:latin typeface="Calibri"/>
              </a:defRPr>
            </a:pPr>
            <a:endParaRPr lang="en-US"/>
          </a:p>
        </c:txPr>
        <c:crossAx val="50010001"/>
        <c:crosses val="min"/>
        <c:crossBetween val="midCat"/>
        <c:majorUnit val="1"/>
      </c:valAx>
      <c:spPr>
        <a:solidFill>
          <a:srgbClr val="FFFFFF"/>
        </a:solidFill>
        <a:ln>
          <a:noFill/>
        </a:ln>
      </c:spPr>
    </c:plotArea>
    <c:legend>
      <c:legendPos val="b"/>
      <c:legendEntry>
        <c:idx val="1"/>
        <c:delete val="1"/>
      </c:legendEntry>
      <c:legendEntry>
        <c:idx val="3"/>
        <c:delete val="1"/>
      </c:legendEntry>
      <c:legendEntry>
        <c:idx val="5"/>
        <c:delete val="1"/>
      </c:legendEntry>
      <c:legendEntry>
        <c:idx val="7"/>
        <c:delete val="1"/>
      </c:legendEntry>
      <c:legendEntry>
        <c:idx val="9"/>
        <c:delete val="1"/>
      </c:legendEntry>
      <c:legendEntry>
        <c:idx val="11"/>
        <c:delete val="1"/>
      </c:legendEntry>
      <c:legendEntry>
        <c:idx val="13"/>
        <c:delete val="1"/>
      </c:legendEntry>
      <c:legendEntry>
        <c:idx val="15"/>
        <c:delete val="1"/>
      </c:legendEntry>
      <c:legendEntry>
        <c:idx val="17"/>
        <c:delete val="1"/>
      </c:legendEntry>
      <c:legendEntry>
        <c:idx val="19"/>
        <c:delete val="1"/>
      </c:legendEntry>
      <c:overlay val="0"/>
      <c:txPr>
        <a:bodyPr/>
        <a:lstStyle/>
        <a:p>
          <a:pPr>
            <a:defRPr sz="1000" baseline="0">
              <a:solidFill>
                <a:srgbClr val="143A52"/>
              </a:solidFill>
              <a:latin typeface="Calibri"/>
            </a:defRPr>
          </a:pPr>
          <a:endParaRPr lang="en-US"/>
        </a:p>
      </c:txPr>
    </c:legend>
    <c:plotVisOnly val="0"/>
    <c:dispBlanksAs val="gap"/>
    <c:showDLblsOverMax val="0"/>
  </c:chart>
  <c:spPr>
    <a:solidFill>
      <a:srgbClr val="FFFFFF"/>
    </a:solidFill>
    <a:ln w="12700">
      <a:solidFill>
        <a:srgbClr val="D5E0E7"/>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500" b="1" baseline="0">
                <a:solidFill>
                  <a:srgbClr val="143A52"/>
                </a:solidFill>
                <a:latin typeface="Calibri"/>
              </a:defRPr>
            </a:pPr>
            <a:r>
              <a:rPr lang="en-US" sz="1500" b="1" baseline="0">
                <a:solidFill>
                  <a:srgbClr val="143A52"/>
                </a:solidFill>
                <a:latin typeface="Calibri"/>
              </a:rPr>
              <a:t>B  |  Biomarker ranking (VIP scores)
Blue: molecular / latent molecular · amber: behavioral · gray: body weight</a:t>
            </a:r>
          </a:p>
        </c:rich>
      </c:tx>
      <c:overlay val="0"/>
    </c:title>
    <c:autoTitleDeleted val="0"/>
    <c:plotArea>
      <c:layout/>
      <c:barChart>
        <c:barDir val="bar"/>
        <c:grouping val="clustered"/>
        <c:varyColors val="0"/>
        <c:ser>
          <c:idx val="0"/>
          <c:order val="0"/>
          <c:tx>
            <c:v>VIP score</c:v>
          </c:tx>
          <c:invertIfNegative val="0"/>
          <c:dPt>
            <c:idx val="0"/>
            <c:invertIfNegative val="0"/>
            <c:bubble3D val="0"/>
            <c:spPr>
              <a:solidFill>
                <a:srgbClr val="0077B6"/>
              </a:solidFill>
              <a:ln>
                <a:noFill/>
              </a:ln>
            </c:spPr>
            <c:extLst>
              <c:ext xmlns:c16="http://schemas.microsoft.com/office/drawing/2014/chart" uri="{C3380CC4-5D6E-409C-BE32-E72D297353CC}">
                <c16:uniqueId val="{00000000-D172-4FE2-941C-D9DA7CD1E65E}"/>
              </c:ext>
            </c:extLst>
          </c:dPt>
          <c:dPt>
            <c:idx val="1"/>
            <c:invertIfNegative val="0"/>
            <c:bubble3D val="0"/>
            <c:spPr>
              <a:solidFill>
                <a:srgbClr val="0077B6"/>
              </a:solidFill>
              <a:ln>
                <a:noFill/>
              </a:ln>
            </c:spPr>
            <c:extLst>
              <c:ext xmlns:c16="http://schemas.microsoft.com/office/drawing/2014/chart" uri="{C3380CC4-5D6E-409C-BE32-E72D297353CC}">
                <c16:uniqueId val="{00000001-D172-4FE2-941C-D9DA7CD1E65E}"/>
              </c:ext>
            </c:extLst>
          </c:dPt>
          <c:dPt>
            <c:idx val="2"/>
            <c:invertIfNegative val="0"/>
            <c:bubble3D val="0"/>
            <c:spPr>
              <a:solidFill>
                <a:srgbClr val="0077B6"/>
              </a:solidFill>
              <a:ln>
                <a:noFill/>
              </a:ln>
            </c:spPr>
            <c:extLst>
              <c:ext xmlns:c16="http://schemas.microsoft.com/office/drawing/2014/chart" uri="{C3380CC4-5D6E-409C-BE32-E72D297353CC}">
                <c16:uniqueId val="{00000002-D172-4FE2-941C-D9DA7CD1E65E}"/>
              </c:ext>
            </c:extLst>
          </c:dPt>
          <c:dPt>
            <c:idx val="3"/>
            <c:invertIfNegative val="0"/>
            <c:bubble3D val="0"/>
            <c:spPr>
              <a:solidFill>
                <a:srgbClr val="0077B6"/>
              </a:solidFill>
              <a:ln>
                <a:noFill/>
              </a:ln>
            </c:spPr>
            <c:extLst>
              <c:ext xmlns:c16="http://schemas.microsoft.com/office/drawing/2014/chart" uri="{C3380CC4-5D6E-409C-BE32-E72D297353CC}">
                <c16:uniqueId val="{00000003-D172-4FE2-941C-D9DA7CD1E65E}"/>
              </c:ext>
            </c:extLst>
          </c:dPt>
          <c:dPt>
            <c:idx val="4"/>
            <c:invertIfNegative val="0"/>
            <c:bubble3D val="0"/>
            <c:spPr>
              <a:solidFill>
                <a:srgbClr val="E69F00"/>
              </a:solidFill>
              <a:ln>
                <a:noFill/>
              </a:ln>
            </c:spPr>
            <c:extLst>
              <c:ext xmlns:c16="http://schemas.microsoft.com/office/drawing/2014/chart" uri="{C3380CC4-5D6E-409C-BE32-E72D297353CC}">
                <c16:uniqueId val="{00000004-D172-4FE2-941C-D9DA7CD1E65E}"/>
              </c:ext>
            </c:extLst>
          </c:dPt>
          <c:dPt>
            <c:idx val="5"/>
            <c:invertIfNegative val="0"/>
            <c:bubble3D val="0"/>
            <c:spPr>
              <a:solidFill>
                <a:srgbClr val="E69F00"/>
              </a:solidFill>
              <a:ln>
                <a:noFill/>
              </a:ln>
            </c:spPr>
            <c:extLst>
              <c:ext xmlns:c16="http://schemas.microsoft.com/office/drawing/2014/chart" uri="{C3380CC4-5D6E-409C-BE32-E72D297353CC}">
                <c16:uniqueId val="{00000005-D172-4FE2-941C-D9DA7CD1E65E}"/>
              </c:ext>
            </c:extLst>
          </c:dPt>
          <c:dPt>
            <c:idx val="6"/>
            <c:invertIfNegative val="0"/>
            <c:bubble3D val="0"/>
            <c:spPr>
              <a:solidFill>
                <a:srgbClr val="E69F00"/>
              </a:solidFill>
              <a:ln>
                <a:noFill/>
              </a:ln>
            </c:spPr>
            <c:extLst>
              <c:ext xmlns:c16="http://schemas.microsoft.com/office/drawing/2014/chart" uri="{C3380CC4-5D6E-409C-BE32-E72D297353CC}">
                <c16:uniqueId val="{00000006-D172-4FE2-941C-D9DA7CD1E65E}"/>
              </c:ext>
            </c:extLst>
          </c:dPt>
          <c:dPt>
            <c:idx val="7"/>
            <c:invertIfNegative val="0"/>
            <c:bubble3D val="0"/>
            <c:spPr>
              <a:solidFill>
                <a:srgbClr val="929292"/>
              </a:solidFill>
              <a:ln>
                <a:noFill/>
              </a:ln>
            </c:spPr>
            <c:extLst>
              <c:ext xmlns:c16="http://schemas.microsoft.com/office/drawing/2014/chart" uri="{C3380CC4-5D6E-409C-BE32-E72D297353CC}">
                <c16:uniqueId val="{00000007-D172-4FE2-941C-D9DA7CD1E65E}"/>
              </c:ext>
            </c:extLst>
          </c:dPt>
          <c:dLbls>
            <c:numFmt formatCode="0.000" sourceLinked="0"/>
            <c:spPr>
              <a:noFill/>
              <a:ln>
                <a:noFill/>
              </a:ln>
              <a:effectLst/>
            </c:spPr>
            <c:txPr>
              <a:bodyPr/>
              <a:lstStyle/>
              <a:p>
                <a:pPr>
                  <a:defRPr sz="1100" baseline="0">
                    <a:solidFill>
                      <a:srgbClr val="143A52"/>
                    </a:solidFill>
                    <a:latin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'PLS-DA Data &amp; Figures'!$F$8:$F$15</c:f>
              <c:strCache>
                <c:ptCount val="8"/>
                <c:pt idx="0">
                  <c:v>Nrf-2</c:v>
                </c:pt>
                <c:pt idx="1">
                  <c:v>IL-6</c:v>
                </c:pt>
                <c:pt idx="2">
                  <c:v>iNOS</c:v>
                </c:pt>
                <c:pt idx="3">
                  <c:v>BDNF_SUP</c:v>
                </c:pt>
                <c:pt idx="4">
                  <c:v>hypalg_bfr</c:v>
                </c:pt>
                <c:pt idx="5">
                  <c:v>hypalg_rel</c:v>
                </c:pt>
                <c:pt idx="6">
                  <c:v>hypalg_aft</c:v>
                </c:pt>
                <c:pt idx="7">
                  <c:v>body_wt</c:v>
                </c:pt>
              </c:strCache>
            </c:strRef>
          </c:cat>
          <c:val>
            <c:numRef>
              <c:f>'PLS-DA Data &amp; Figures'!$G$8:$G$15</c:f>
              <c:numCache>
                <c:formatCode>0.000000</c:formatCode>
                <c:ptCount val="8"/>
                <c:pt idx="0">
                  <c:v>1.36165</c:v>
                </c:pt>
                <c:pt idx="1">
                  <c:v>1.312784</c:v>
                </c:pt>
                <c:pt idx="2">
                  <c:v>1.1922440000000001</c:v>
                </c:pt>
                <c:pt idx="3">
                  <c:v>1.0824659999999999</c:v>
                </c:pt>
                <c:pt idx="4">
                  <c:v>0.72813000000000005</c:v>
                </c:pt>
                <c:pt idx="5">
                  <c:v>0.72248100000000004</c:v>
                </c:pt>
                <c:pt idx="6">
                  <c:v>0.704596</c:v>
                </c:pt>
                <c:pt idx="7">
                  <c:v>0.52983000000000002</c:v>
                </c:pt>
              </c:numCache>
            </c:numRef>
          </c:val>
          <c:extLst>
            <c:ext xmlns:c16="http://schemas.microsoft.com/office/drawing/2014/chart" uri="{C3380CC4-5D6E-409C-BE32-E72D297353CC}">
              <c16:uniqueId val="{00000008-D172-4FE2-941C-D9DA7CD1E65E}"/>
            </c:ext>
          </c:extLst>
        </c:ser>
        <c:dLbls>
          <c:showLegendKey val="0"/>
          <c:showVal val="0"/>
          <c:showCatName val="0"/>
          <c:showSerName val="0"/>
          <c:showPercent val="0"/>
          <c:showBubbleSize val="0"/>
        </c:dLbls>
        <c:gapWidth val="38"/>
        <c:axId val="50020001"/>
        <c:axId val="50020002"/>
      </c:barChart>
      <c:scatterChart>
        <c:scatterStyle val="lineMarker"/>
        <c:varyColors val="0"/>
        <c:ser>
          <c:idx val="1"/>
          <c:order val="1"/>
          <c:tx>
            <c:v>Reference: VIP = 1.0  (VIP &gt; 1.0 exceeds threshold)</c:v>
          </c:tx>
          <c:spPr>
            <a:ln w="22225">
              <a:solidFill>
                <a:srgbClr val="C05A32"/>
              </a:solidFill>
              <a:prstDash val="dash"/>
            </a:ln>
          </c:spPr>
          <c:marker>
            <c:symbol val="none"/>
          </c:marker>
          <c:xVal>
            <c:numRef>
              <c:f>'PLS-DA Data &amp; Figures'!$AA$2:$AA$3</c:f>
              <c:numCache>
                <c:formatCode>General</c:formatCode>
                <c:ptCount val="2"/>
                <c:pt idx="0">
                  <c:v>1</c:v>
                </c:pt>
                <c:pt idx="1">
                  <c:v>1</c:v>
                </c:pt>
              </c:numCache>
            </c:numRef>
          </c:xVal>
          <c:yVal>
            <c:numRef>
              <c:f>'PLS-DA Data &amp; Figures'!$AB$2:$AB$3</c:f>
              <c:numCache>
                <c:formatCode>General</c:formatCode>
                <c:ptCount val="2"/>
                <c:pt idx="0">
                  <c:v>0.5</c:v>
                </c:pt>
                <c:pt idx="1">
                  <c:v>8.5</c:v>
                </c:pt>
              </c:numCache>
            </c:numRef>
          </c:yVal>
          <c:smooth val="0"/>
          <c:extLst>
            <c:ext xmlns:c16="http://schemas.microsoft.com/office/drawing/2014/chart" uri="{C3380CC4-5D6E-409C-BE32-E72D297353CC}">
              <c16:uniqueId val="{00000009-D172-4FE2-941C-D9DA7CD1E65E}"/>
            </c:ext>
          </c:extLst>
        </c:ser>
        <c:dLbls>
          <c:showLegendKey val="0"/>
          <c:showVal val="0"/>
          <c:showCatName val="0"/>
          <c:showSerName val="0"/>
          <c:showPercent val="0"/>
          <c:showBubbleSize val="0"/>
        </c:dLbls>
        <c:axId val="60020001"/>
        <c:axId val="60020002"/>
      </c:scatterChart>
      <c:catAx>
        <c:axId val="50020001"/>
        <c:scaling>
          <c:orientation val="maxMin"/>
        </c:scaling>
        <c:delete val="0"/>
        <c:axPos val="l"/>
        <c:numFmt formatCode="General" sourceLinked="0"/>
        <c:majorTickMark val="none"/>
        <c:minorTickMark val="none"/>
        <c:tickLblPos val="low"/>
        <c:spPr>
          <a:ln>
            <a:noFill/>
          </a:ln>
        </c:spPr>
        <c:txPr>
          <a:bodyPr/>
          <a:lstStyle/>
          <a:p>
            <a:pPr>
              <a:defRPr sz="1200" baseline="0">
                <a:solidFill>
                  <a:srgbClr val="143A52"/>
                </a:solidFill>
                <a:latin typeface="Calibri"/>
              </a:defRPr>
            </a:pPr>
            <a:endParaRPr lang="en-US"/>
          </a:p>
        </c:txPr>
        <c:crossAx val="50020002"/>
        <c:crosses val="autoZero"/>
        <c:auto val="1"/>
        <c:lblAlgn val="ctr"/>
        <c:lblOffset val="100"/>
        <c:noMultiLvlLbl val="0"/>
      </c:catAx>
      <c:valAx>
        <c:axId val="50020002"/>
        <c:scaling>
          <c:orientation val="minMax"/>
          <c:max val="1.5"/>
          <c:min val="0"/>
        </c:scaling>
        <c:delete val="0"/>
        <c:axPos val="b"/>
        <c:majorGridlines>
          <c:spPr>
            <a:ln w="6350">
              <a:solidFill>
                <a:srgbClr val="E3E9EE"/>
              </a:solidFill>
            </a:ln>
          </c:spPr>
        </c:majorGridlines>
        <c:title>
          <c:tx>
            <c:rich>
              <a:bodyPr/>
              <a:lstStyle/>
              <a:p>
                <a:pPr>
                  <a:defRPr sz="1200" baseline="0">
                    <a:solidFill>
                      <a:srgbClr val="143A52"/>
                    </a:solidFill>
                    <a:latin typeface="Calibri"/>
                  </a:defRPr>
                </a:pPr>
                <a:r>
                  <a:rPr lang="en-US" sz="1200" baseline="0">
                    <a:solidFill>
                      <a:srgbClr val="143A52"/>
                    </a:solidFill>
                    <a:latin typeface="Calibri"/>
                  </a:rPr>
                  <a:t>Variable Importance in Projection (VIP)</a:t>
                </a:r>
              </a:p>
            </c:rich>
          </c:tx>
          <c:overlay val="0"/>
        </c:title>
        <c:numFmt formatCode="0.00" sourceLinked="0"/>
        <c:majorTickMark val="out"/>
        <c:minorTickMark val="none"/>
        <c:tickLblPos val="low"/>
        <c:spPr>
          <a:ln>
            <a:solidFill>
              <a:srgbClr val="8297A4"/>
            </a:solidFill>
          </a:ln>
        </c:spPr>
        <c:txPr>
          <a:bodyPr/>
          <a:lstStyle/>
          <a:p>
            <a:pPr>
              <a:defRPr sz="1100" baseline="0">
                <a:solidFill>
                  <a:srgbClr val="143A52"/>
                </a:solidFill>
                <a:latin typeface="Calibri"/>
              </a:defRPr>
            </a:pPr>
            <a:endParaRPr lang="en-US"/>
          </a:p>
        </c:txPr>
        <c:crossAx val="50020001"/>
        <c:crosses val="max"/>
        <c:crossBetween val="between"/>
        <c:majorUnit val="0.25"/>
      </c:valAx>
      <c:valAx>
        <c:axId val="60020002"/>
        <c:scaling>
          <c:orientation val="minMax"/>
          <c:max val="8.5"/>
          <c:min val="0.5"/>
        </c:scaling>
        <c:delete val="1"/>
        <c:axPos val="r"/>
        <c:numFmt formatCode="General" sourceLinked="1"/>
        <c:majorTickMark val="out"/>
        <c:minorTickMark val="none"/>
        <c:tickLblPos val="none"/>
        <c:crossAx val="60020001"/>
        <c:crosses val="max"/>
        <c:crossBetween val="midCat"/>
      </c:valAx>
      <c:valAx>
        <c:axId val="60020001"/>
        <c:scaling>
          <c:orientation val="minMax"/>
          <c:max val="1.5"/>
          <c:min val="0"/>
        </c:scaling>
        <c:delete val="1"/>
        <c:axPos val="b"/>
        <c:numFmt formatCode="0.00" sourceLinked="0"/>
        <c:majorTickMark val="out"/>
        <c:minorTickMark val="none"/>
        <c:tickLblPos val="none"/>
        <c:crossAx val="60020002"/>
        <c:crosses val="autoZero"/>
        <c:crossBetween val="midCat"/>
      </c:valAx>
      <c:spPr>
        <a:solidFill>
          <a:srgbClr val="FFFFFF"/>
        </a:solidFill>
        <a:ln>
          <a:noFill/>
        </a:ln>
      </c:spPr>
    </c:plotArea>
    <c:legend>
      <c:legendPos val="b"/>
      <c:legendEntry>
        <c:idx val="0"/>
        <c:delete val="1"/>
      </c:legendEntry>
      <c:overlay val="0"/>
      <c:txPr>
        <a:bodyPr/>
        <a:lstStyle/>
        <a:p>
          <a:pPr>
            <a:defRPr sz="1100" baseline="0">
              <a:solidFill>
                <a:srgbClr val="143A52"/>
              </a:solidFill>
              <a:latin typeface="Calibri"/>
            </a:defRPr>
          </a:pPr>
          <a:endParaRPr lang="en-US"/>
        </a:p>
      </c:txPr>
    </c:legend>
    <c:plotVisOnly val="0"/>
    <c:dispBlanksAs val="gap"/>
    <c:showDLblsOverMax val="0"/>
  </c:chart>
  <c:spPr>
    <a:solidFill>
      <a:srgbClr val="FFFFFF"/>
    </a:solidFill>
    <a:ln w="12700">
      <a:solidFill>
        <a:srgbClr val="D5E0E7"/>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8</xdr:col>
      <xdr:colOff>0</xdr:colOff>
      <xdr:row>6</xdr:row>
      <xdr:rowOff>0</xdr:rowOff>
    </xdr:from>
    <xdr:to>
      <xdr:col>23</xdr:col>
      <xdr:colOff>428625</xdr:colOff>
      <xdr:row>28</xdr:row>
      <xdr:rowOff>114300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0</xdr:colOff>
      <xdr:row>30</xdr:row>
      <xdr:rowOff>0</xdr:rowOff>
    </xdr:from>
    <xdr:to>
      <xdr:col>23</xdr:col>
      <xdr:colOff>428625</xdr:colOff>
      <xdr:row>52</xdr:row>
      <xdr:rowOff>114300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LSDA_Scores" displayName="PLSDA_Scores" ref="A7:D107" totalsRowShown="0">
  <autoFilter ref="A7:D107" xr:uid="{00000000-0009-0000-0100-000001000000}"/>
  <tableColumns count="4">
    <tableColumn id="1" xr3:uid="{00000000-0010-0000-0000-000001000000}" name="LV1" dataDxfId="6"/>
    <tableColumn id="2" xr3:uid="{00000000-0010-0000-0000-000002000000}" name="LV2" dataDxfId="5"/>
    <tableColumn id="3" xr3:uid="{00000000-0010-0000-0000-000003000000}" name="Group" dataDxfId="4"/>
    <tableColumn id="4" xr3:uid="{00000000-0010-0000-0000-000004000000}" name="Duration" dataDxfId="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LSDA_VIP" displayName="PLSDA_VIP" ref="F7:G15" totalsRowShown="0">
  <autoFilter ref="F7:G15" xr:uid="{00000000-0009-0000-0100-000002000000}"/>
  <tableColumns count="2">
    <tableColumn id="1" xr3:uid="{00000000-0010-0000-0100-000001000000}" name="Feature" dataDxfId="2"/>
    <tableColumn id="2" xr3:uid="{00000000-0010-0000-0100-000002000000}" name="VIP" dataDxfId="1"/>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7B6"/>
    <pageSetUpPr fitToPage="1"/>
  </sheetPr>
  <dimension ref="A1:AB111"/>
  <sheetViews>
    <sheetView showGridLines="0" tabSelected="1" zoomScale="75" zoomScaleNormal="75" workbookViewId="0">
      <pane ySplit="7" topLeftCell="A8" activePane="bottomLeft" state="frozen"/>
      <selection pane="bottomLeft" sqref="A1:X2"/>
    </sheetView>
  </sheetViews>
  <sheetFormatPr defaultRowHeight="18" customHeight="1" x14ac:dyDescent="0.25"/>
  <cols>
    <col min="1" max="2" width="13.7109375" customWidth="1"/>
    <col min="3" max="3" width="9.7109375" customWidth="1"/>
    <col min="4" max="4" width="12.7109375" customWidth="1"/>
    <col min="5" max="5" width="3.7109375" customWidth="1"/>
    <col min="6" max="6" width="19.7109375" customWidth="1"/>
    <col min="7" max="7" width="12.7109375" customWidth="1"/>
    <col min="8" max="8" width="3.7109375" customWidth="1"/>
    <col min="9" max="24" width="8.7109375" customWidth="1"/>
    <col min="25" max="26" width="3.7109375" customWidth="1"/>
    <col min="27" max="28" width="12.7109375" hidden="1" customWidth="1"/>
  </cols>
  <sheetData>
    <row r="1" spans="1:28" ht="18" customHeight="1" x14ac:dyDescent="0.25">
      <c r="A1" s="4" t="s">
        <v>0</v>
      </c>
      <c r="B1" s="4"/>
      <c r="C1" s="4"/>
      <c r="D1" s="4"/>
      <c r="E1" s="4"/>
      <c r="F1" s="4"/>
      <c r="G1" s="4"/>
      <c r="H1" s="4"/>
      <c r="I1" s="4"/>
      <c r="J1" s="4"/>
      <c r="K1" s="4"/>
      <c r="L1" s="4"/>
      <c r="M1" s="4"/>
      <c r="N1" s="4"/>
      <c r="O1" s="4"/>
      <c r="P1" s="4"/>
      <c r="Q1" s="4"/>
      <c r="R1" s="4"/>
      <c r="S1" s="4"/>
      <c r="T1" s="4"/>
      <c r="U1" s="4"/>
      <c r="V1" s="4"/>
      <c r="W1" s="4"/>
      <c r="X1" s="4"/>
      <c r="AA1" t="s">
        <v>31</v>
      </c>
      <c r="AB1" t="s">
        <v>32</v>
      </c>
    </row>
    <row r="2" spans="1:28" ht="18" customHeight="1" x14ac:dyDescent="0.25">
      <c r="A2" s="4"/>
      <c r="B2" s="4"/>
      <c r="C2" s="4"/>
      <c r="D2" s="4"/>
      <c r="E2" s="4"/>
      <c r="F2" s="4"/>
      <c r="G2" s="4"/>
      <c r="H2" s="4"/>
      <c r="I2" s="4"/>
      <c r="J2" s="4"/>
      <c r="K2" s="4"/>
      <c r="L2" s="4"/>
      <c r="M2" s="4"/>
      <c r="N2" s="4"/>
      <c r="O2" s="4"/>
      <c r="P2" s="4"/>
      <c r="Q2" s="4"/>
      <c r="R2" s="4"/>
      <c r="S2" s="4"/>
      <c r="T2" s="4"/>
      <c r="U2" s="4"/>
      <c r="V2" s="4"/>
      <c r="W2" s="4"/>
      <c r="X2" s="4"/>
      <c r="AA2">
        <v>1</v>
      </c>
      <c r="AB2">
        <v>0.5</v>
      </c>
    </row>
    <row r="3" spans="1:28" ht="18" customHeight="1" x14ac:dyDescent="0.25">
      <c r="A3" s="5" t="s">
        <v>1</v>
      </c>
      <c r="B3" s="5"/>
      <c r="C3" s="5"/>
      <c r="D3" s="5"/>
      <c r="E3" s="5"/>
      <c r="F3" s="5"/>
      <c r="G3" s="5"/>
      <c r="H3" s="5"/>
      <c r="I3" s="5"/>
      <c r="J3" s="5"/>
      <c r="K3" s="5"/>
      <c r="L3" s="5"/>
      <c r="M3" s="5"/>
      <c r="N3" s="5"/>
      <c r="O3" s="5"/>
      <c r="P3" s="5"/>
      <c r="Q3" s="5"/>
      <c r="R3" s="5"/>
      <c r="S3" s="5"/>
      <c r="T3" s="5"/>
      <c r="U3" s="5"/>
      <c r="V3" s="5"/>
      <c r="W3" s="5"/>
      <c r="X3" s="5"/>
      <c r="AA3">
        <v>1</v>
      </c>
      <c r="AB3">
        <v>8.5</v>
      </c>
    </row>
    <row r="5" spans="1:28" ht="18" customHeight="1" x14ac:dyDescent="0.25">
      <c r="A5" s="6" t="s">
        <v>2</v>
      </c>
      <c r="B5" s="6"/>
      <c r="C5" s="6"/>
      <c r="D5" s="6"/>
      <c r="F5" s="6" t="s">
        <v>3</v>
      </c>
      <c r="G5" s="6"/>
      <c r="I5" s="6" t="s">
        <v>4</v>
      </c>
      <c r="J5" s="6"/>
      <c r="K5" s="6"/>
      <c r="L5" s="6"/>
      <c r="M5" s="6"/>
      <c r="N5" s="6"/>
      <c r="O5" s="6"/>
      <c r="P5" s="6"/>
      <c r="Q5" s="6"/>
      <c r="R5" s="6"/>
      <c r="S5" s="6"/>
      <c r="T5" s="6"/>
      <c r="U5" s="6"/>
      <c r="V5" s="6"/>
      <c r="W5" s="6"/>
      <c r="X5" s="6"/>
    </row>
    <row r="6" spans="1:28" ht="18" customHeight="1" x14ac:dyDescent="0.25">
      <c r="A6" s="5" t="s">
        <v>5</v>
      </c>
      <c r="B6" s="5"/>
      <c r="C6" s="5"/>
      <c r="D6" s="5"/>
      <c r="F6" s="5" t="s">
        <v>6</v>
      </c>
      <c r="G6" s="5"/>
    </row>
    <row r="7" spans="1:28" ht="18" customHeight="1" x14ac:dyDescent="0.25">
      <c r="A7" t="s">
        <v>7</v>
      </c>
      <c r="B7" t="s">
        <v>8</v>
      </c>
      <c r="C7" t="s">
        <v>9</v>
      </c>
      <c r="D7" t="s">
        <v>10</v>
      </c>
      <c r="F7" t="s">
        <v>11</v>
      </c>
      <c r="G7" t="s">
        <v>12</v>
      </c>
    </row>
    <row r="8" spans="1:28" ht="18" customHeight="1" x14ac:dyDescent="0.25">
      <c r="A8" s="1">
        <v>-2.9631530915893758</v>
      </c>
      <c r="B8" s="1">
        <v>-2.0319994506187791</v>
      </c>
      <c r="C8" s="2">
        <v>1</v>
      </c>
      <c r="D8" s="2">
        <v>4</v>
      </c>
      <c r="F8" s="3" t="s">
        <v>13</v>
      </c>
      <c r="G8" s="1">
        <v>1.36165</v>
      </c>
    </row>
    <row r="9" spans="1:28" ht="18" customHeight="1" x14ac:dyDescent="0.25">
      <c r="A9" s="1">
        <v>-2.7284876505068079</v>
      </c>
      <c r="B9" s="1">
        <v>-1.8085378825017879</v>
      </c>
      <c r="C9" s="2">
        <v>1</v>
      </c>
      <c r="D9" s="2">
        <v>4</v>
      </c>
      <c r="F9" s="3" t="s">
        <v>14</v>
      </c>
      <c r="G9" s="1">
        <v>1.312784</v>
      </c>
    </row>
    <row r="10" spans="1:28" ht="18" customHeight="1" x14ac:dyDescent="0.25">
      <c r="A10" s="1">
        <v>-2.3603233776304071</v>
      </c>
      <c r="B10" s="1">
        <v>-1.9938895027508079</v>
      </c>
      <c r="C10" s="2">
        <v>1</v>
      </c>
      <c r="D10" s="2">
        <v>4</v>
      </c>
      <c r="F10" s="3" t="s">
        <v>15</v>
      </c>
      <c r="G10" s="1">
        <v>1.1922440000000001</v>
      </c>
    </row>
    <row r="11" spans="1:28" ht="18" customHeight="1" x14ac:dyDescent="0.25">
      <c r="A11" s="1">
        <v>-2.783794309392825</v>
      </c>
      <c r="B11" s="1">
        <v>-1.6391724187501551</v>
      </c>
      <c r="C11" s="2">
        <v>1</v>
      </c>
      <c r="D11" s="2">
        <v>4</v>
      </c>
      <c r="F11" s="3" t="s">
        <v>16</v>
      </c>
      <c r="G11" s="1">
        <v>1.0824659999999999</v>
      </c>
    </row>
    <row r="12" spans="1:28" ht="18" customHeight="1" x14ac:dyDescent="0.25">
      <c r="A12" s="1">
        <v>-3.845274998973423</v>
      </c>
      <c r="B12" s="1">
        <v>-2.1569105579213881</v>
      </c>
      <c r="C12" s="2">
        <v>1</v>
      </c>
      <c r="D12" s="2">
        <v>4</v>
      </c>
      <c r="F12" s="3" t="s">
        <v>17</v>
      </c>
      <c r="G12" s="1">
        <v>0.72813000000000005</v>
      </c>
    </row>
    <row r="13" spans="1:28" ht="18" customHeight="1" x14ac:dyDescent="0.25">
      <c r="A13" s="1">
        <v>3.1176758206024182</v>
      </c>
      <c r="B13" s="1">
        <v>-1.48794175395249</v>
      </c>
      <c r="C13" s="2">
        <v>2</v>
      </c>
      <c r="D13" s="2">
        <v>4</v>
      </c>
      <c r="F13" s="3" t="s">
        <v>18</v>
      </c>
      <c r="G13" s="1">
        <v>0.72248100000000004</v>
      </c>
    </row>
    <row r="14" spans="1:28" ht="18" customHeight="1" x14ac:dyDescent="0.25">
      <c r="A14" s="1">
        <v>3.1245414748089582</v>
      </c>
      <c r="B14" s="1">
        <v>-1.508966432211313</v>
      </c>
      <c r="C14" s="2">
        <v>2</v>
      </c>
      <c r="D14" s="2">
        <v>4</v>
      </c>
      <c r="F14" s="3" t="s">
        <v>19</v>
      </c>
      <c r="G14" s="1">
        <v>0.704596</v>
      </c>
    </row>
    <row r="15" spans="1:28" ht="18" customHeight="1" x14ac:dyDescent="0.25">
      <c r="A15" s="1">
        <v>3.1268300262111381</v>
      </c>
      <c r="B15" s="1">
        <v>-1.5159746582975879</v>
      </c>
      <c r="C15" s="2">
        <v>2</v>
      </c>
      <c r="D15" s="2">
        <v>4</v>
      </c>
      <c r="F15" s="3" t="s">
        <v>20</v>
      </c>
      <c r="G15" s="1">
        <v>0.52983000000000002</v>
      </c>
    </row>
    <row r="16" spans="1:28" ht="18" customHeight="1" x14ac:dyDescent="0.25">
      <c r="A16" s="1">
        <v>3.378659602810056</v>
      </c>
      <c r="B16" s="1">
        <v>-1.3450747858276551</v>
      </c>
      <c r="C16" s="2">
        <v>2</v>
      </c>
      <c r="D16" s="2">
        <v>4</v>
      </c>
    </row>
    <row r="17" spans="1:7" ht="18" customHeight="1" x14ac:dyDescent="0.25">
      <c r="A17" s="1">
        <v>3.1390356336894309</v>
      </c>
      <c r="B17" s="1">
        <v>-1.5533518640910511</v>
      </c>
      <c r="C17" s="2">
        <v>2</v>
      </c>
      <c r="D17" s="2">
        <v>4</v>
      </c>
    </row>
    <row r="18" spans="1:7" ht="18" customHeight="1" x14ac:dyDescent="0.25">
      <c r="A18" s="1">
        <v>-0.33128344210579508</v>
      </c>
      <c r="B18" s="1">
        <v>-0.72241381943103822</v>
      </c>
      <c r="C18" s="2">
        <v>3</v>
      </c>
      <c r="D18" s="2">
        <v>4</v>
      </c>
      <c r="F18" s="6" t="s">
        <v>21</v>
      </c>
      <c r="G18" s="6"/>
    </row>
    <row r="19" spans="1:7" ht="18" customHeight="1" x14ac:dyDescent="0.25">
      <c r="A19" s="1">
        <v>-0.1047135912654111</v>
      </c>
      <c r="B19" s="1">
        <v>-0.14211075822515429</v>
      </c>
      <c r="C19" s="2">
        <v>3</v>
      </c>
      <c r="D19" s="2">
        <v>4</v>
      </c>
    </row>
    <row r="20" spans="1:7" ht="18" customHeight="1" x14ac:dyDescent="0.25">
      <c r="A20" s="1">
        <v>-6.7629683262280318E-2</v>
      </c>
      <c r="B20" s="1">
        <v>-0.58772311507352437</v>
      </c>
      <c r="C20" s="2">
        <v>3</v>
      </c>
      <c r="D20" s="2">
        <v>4</v>
      </c>
      <c r="F20" s="7" t="s">
        <v>22</v>
      </c>
      <c r="G20" s="7"/>
    </row>
    <row r="21" spans="1:7" ht="18" customHeight="1" x14ac:dyDescent="0.25">
      <c r="A21" s="1">
        <v>-1.084562236232437</v>
      </c>
      <c r="B21" s="1">
        <v>1.8940531836013019</v>
      </c>
      <c r="C21" s="2">
        <v>3</v>
      </c>
      <c r="D21" s="2">
        <v>4</v>
      </c>
      <c r="F21" s="7"/>
      <c r="G21" s="7"/>
    </row>
    <row r="22" spans="1:7" ht="18" customHeight="1" x14ac:dyDescent="0.25">
      <c r="A22" s="1">
        <v>4.1088357589376887E-2</v>
      </c>
      <c r="B22" s="1">
        <v>-1.2718059076731241</v>
      </c>
      <c r="C22" s="2">
        <v>3</v>
      </c>
      <c r="D22" s="2">
        <v>4</v>
      </c>
      <c r="F22" s="7"/>
      <c r="G22" s="7"/>
    </row>
    <row r="23" spans="1:7" ht="18" customHeight="1" x14ac:dyDescent="0.25">
      <c r="A23" s="1">
        <v>-2.8197387080154881</v>
      </c>
      <c r="B23" s="1">
        <v>0.85918039708335159</v>
      </c>
      <c r="C23" s="2">
        <v>4</v>
      </c>
      <c r="D23" s="2">
        <v>4</v>
      </c>
      <c r="F23" s="7"/>
      <c r="G23" s="7"/>
    </row>
    <row r="24" spans="1:7" ht="18" customHeight="1" x14ac:dyDescent="0.25">
      <c r="A24" s="1">
        <v>-3.0188052539085679</v>
      </c>
      <c r="B24" s="1">
        <v>1.7339629996939121</v>
      </c>
      <c r="C24" s="2">
        <v>4</v>
      </c>
      <c r="D24" s="2">
        <v>4</v>
      </c>
      <c r="F24" s="7"/>
      <c r="G24" s="7"/>
    </row>
    <row r="25" spans="1:7" ht="18" customHeight="1" x14ac:dyDescent="0.25">
      <c r="A25" s="1">
        <v>-2.4807084033714109</v>
      </c>
      <c r="B25" s="1">
        <v>-0.19969997404107881</v>
      </c>
      <c r="C25" s="2">
        <v>4</v>
      </c>
      <c r="D25" s="2">
        <v>4</v>
      </c>
    </row>
    <row r="26" spans="1:7" ht="18" customHeight="1" x14ac:dyDescent="0.25">
      <c r="A26" s="1">
        <v>-2.1968933429993589</v>
      </c>
      <c r="B26" s="1">
        <v>-0.81632379341201311</v>
      </c>
      <c r="C26" s="2">
        <v>4</v>
      </c>
      <c r="D26" s="2">
        <v>4</v>
      </c>
      <c r="F26" s="8" t="s">
        <v>23</v>
      </c>
      <c r="G26" s="8"/>
    </row>
    <row r="27" spans="1:7" ht="18" customHeight="1" x14ac:dyDescent="0.25">
      <c r="A27" s="1">
        <v>-2.477657001501838</v>
      </c>
      <c r="B27" s="1">
        <v>-0.20904427548944471</v>
      </c>
      <c r="C27" s="2">
        <v>4</v>
      </c>
      <c r="D27" s="2">
        <v>4</v>
      </c>
      <c r="F27" s="8"/>
      <c r="G27" s="8"/>
    </row>
    <row r="28" spans="1:7" ht="18" customHeight="1" x14ac:dyDescent="0.25">
      <c r="A28" s="1">
        <v>1.6124221592585111</v>
      </c>
      <c r="B28" s="1">
        <v>-0.13496706333465991</v>
      </c>
      <c r="C28" s="2">
        <v>5</v>
      </c>
      <c r="D28" s="2">
        <v>4</v>
      </c>
      <c r="F28" s="8"/>
      <c r="G28" s="8"/>
    </row>
    <row r="29" spans="1:7" ht="18" customHeight="1" x14ac:dyDescent="0.25">
      <c r="A29" s="1">
        <v>1.605937930285668</v>
      </c>
      <c r="B29" s="1">
        <v>-0.1151104227568822</v>
      </c>
      <c r="C29" s="2">
        <v>5</v>
      </c>
      <c r="D29" s="2">
        <v>4</v>
      </c>
      <c r="F29" s="8"/>
      <c r="G29" s="8"/>
    </row>
    <row r="30" spans="1:7" ht="18" customHeight="1" x14ac:dyDescent="0.25">
      <c r="A30" s="1">
        <v>1.5864852433671379</v>
      </c>
      <c r="B30" s="1">
        <v>-5.5540501023549183E-2</v>
      </c>
      <c r="C30" s="2">
        <v>5</v>
      </c>
      <c r="D30" s="2">
        <v>4</v>
      </c>
      <c r="F30" s="8"/>
      <c r="G30" s="8"/>
    </row>
    <row r="31" spans="1:7" ht="18" customHeight="1" x14ac:dyDescent="0.25">
      <c r="A31" s="1">
        <v>1.847087600341079</v>
      </c>
      <c r="B31" s="1">
        <v>8.8494504782330674E-2</v>
      </c>
      <c r="C31" s="2">
        <v>5</v>
      </c>
      <c r="D31" s="2">
        <v>4</v>
      </c>
    </row>
    <row r="32" spans="1:7" ht="18" customHeight="1" x14ac:dyDescent="0.25">
      <c r="A32" s="1">
        <v>1.631493420943344</v>
      </c>
      <c r="B32" s="1">
        <v>-0.19336894738694721</v>
      </c>
      <c r="C32" s="2">
        <v>5</v>
      </c>
      <c r="D32" s="2">
        <v>4</v>
      </c>
      <c r="F32" s="9" t="s">
        <v>24</v>
      </c>
      <c r="G32" s="9"/>
    </row>
    <row r="33" spans="1:7" ht="18" customHeight="1" x14ac:dyDescent="0.25">
      <c r="A33" s="1">
        <v>3.3050928140934062</v>
      </c>
      <c r="B33" s="1">
        <v>0.65270967870169361</v>
      </c>
      <c r="C33" s="2">
        <v>6</v>
      </c>
      <c r="D33" s="2">
        <v>4</v>
      </c>
      <c r="F33" s="9"/>
      <c r="G33" s="9"/>
    </row>
    <row r="34" spans="1:7" ht="18" customHeight="1" x14ac:dyDescent="0.25">
      <c r="A34" s="1">
        <v>3.055933214130365</v>
      </c>
      <c r="B34" s="1">
        <v>0.47363354246444128</v>
      </c>
      <c r="C34" s="2">
        <v>6</v>
      </c>
      <c r="D34" s="2">
        <v>4</v>
      </c>
      <c r="F34" s="9"/>
      <c r="G34" s="9"/>
    </row>
    <row r="35" spans="1:7" ht="18" customHeight="1" x14ac:dyDescent="0.25">
      <c r="A35" s="1">
        <v>3.039531929081408</v>
      </c>
      <c r="B35" s="1">
        <v>0.52385916274940869</v>
      </c>
      <c r="C35" s="2">
        <v>6</v>
      </c>
      <c r="D35" s="2">
        <v>4</v>
      </c>
      <c r="F35" s="9"/>
      <c r="G35" s="9"/>
    </row>
    <row r="36" spans="1:7" ht="18" customHeight="1" x14ac:dyDescent="0.25">
      <c r="A36" s="1">
        <v>2.795330857156423</v>
      </c>
      <c r="B36" s="1">
        <v>0.32959853665856143</v>
      </c>
      <c r="C36" s="2">
        <v>6</v>
      </c>
      <c r="D36" s="2">
        <v>4</v>
      </c>
      <c r="F36" s="9"/>
      <c r="G36" s="9"/>
    </row>
    <row r="37" spans="1:7" ht="18" customHeight="1" x14ac:dyDescent="0.25">
      <c r="A37" s="1">
        <v>3.052500387027095</v>
      </c>
      <c r="B37" s="1">
        <v>0.48414588159385302</v>
      </c>
      <c r="C37" s="2">
        <v>6</v>
      </c>
      <c r="D37" s="2">
        <v>4</v>
      </c>
    </row>
    <row r="38" spans="1:7" ht="18" customHeight="1" x14ac:dyDescent="0.25">
      <c r="A38" s="1">
        <v>-0.42008143801426551</v>
      </c>
      <c r="B38" s="1">
        <v>0.70399329302191627</v>
      </c>
      <c r="C38" s="2">
        <v>7</v>
      </c>
      <c r="D38" s="2">
        <v>4</v>
      </c>
      <c r="F38" s="8" t="s">
        <v>25</v>
      </c>
      <c r="G38" s="8"/>
    </row>
    <row r="39" spans="1:7" ht="18" customHeight="1" x14ac:dyDescent="0.25">
      <c r="A39" s="1">
        <v>-0.2209623547519336</v>
      </c>
      <c r="B39" s="1">
        <v>1.0172030137615311</v>
      </c>
      <c r="C39" s="2">
        <v>7</v>
      </c>
      <c r="D39" s="2">
        <v>4</v>
      </c>
      <c r="F39" s="8"/>
      <c r="G39" s="8"/>
    </row>
    <row r="40" spans="1:7" ht="18" customHeight="1" x14ac:dyDescent="0.25">
      <c r="A40" s="1">
        <v>-0.76181450157028796</v>
      </c>
      <c r="B40" s="1">
        <v>1.72975531997162</v>
      </c>
      <c r="C40" s="2">
        <v>7</v>
      </c>
      <c r="D40" s="2">
        <v>4</v>
      </c>
      <c r="F40" s="8"/>
      <c r="G40" s="8"/>
    </row>
    <row r="41" spans="1:7" ht="18" customHeight="1" x14ac:dyDescent="0.25">
      <c r="A41" s="1">
        <v>-0.359053400622799</v>
      </c>
      <c r="B41" s="1">
        <v>0.51710726405459717</v>
      </c>
      <c r="C41" s="2">
        <v>7</v>
      </c>
      <c r="D41" s="2">
        <v>4</v>
      </c>
      <c r="F41" s="8"/>
      <c r="G41" s="8"/>
    </row>
    <row r="42" spans="1:7" ht="18" customHeight="1" x14ac:dyDescent="0.25">
      <c r="A42" s="1">
        <v>-3.009026648260044E-2</v>
      </c>
      <c r="B42" s="1">
        <v>0.1197508231663562</v>
      </c>
      <c r="C42" s="2">
        <v>7</v>
      </c>
      <c r="D42" s="2">
        <v>4</v>
      </c>
      <c r="F42" s="8"/>
      <c r="G42" s="8"/>
    </row>
    <row r="43" spans="1:7" ht="18" customHeight="1" x14ac:dyDescent="0.25">
      <c r="A43" s="1">
        <v>-1.5970968757459629</v>
      </c>
      <c r="B43" s="1">
        <v>0.52420737682941754</v>
      </c>
      <c r="C43" s="2">
        <v>8</v>
      </c>
      <c r="D43" s="2">
        <v>4</v>
      </c>
      <c r="F43" s="8"/>
      <c r="G43" s="8"/>
    </row>
    <row r="44" spans="1:7" ht="18" customHeight="1" x14ac:dyDescent="0.25">
      <c r="A44" s="1">
        <v>-1.508518930181501</v>
      </c>
      <c r="B44" s="1">
        <v>0.55796865491340031</v>
      </c>
      <c r="C44" s="2">
        <v>8</v>
      </c>
      <c r="D44" s="2">
        <v>4</v>
      </c>
    </row>
    <row r="45" spans="1:7" ht="18" customHeight="1" x14ac:dyDescent="0.25">
      <c r="A45" s="1">
        <v>-1.1250103566103959</v>
      </c>
      <c r="B45" s="1">
        <v>0.63064154750914558</v>
      </c>
      <c r="C45" s="2">
        <v>8</v>
      </c>
      <c r="D45" s="2">
        <v>4</v>
      </c>
    </row>
    <row r="46" spans="1:7" ht="18" customHeight="1" x14ac:dyDescent="0.25">
      <c r="A46" s="1">
        <v>-1.5367443974750541</v>
      </c>
      <c r="B46" s="1">
        <v>0.64440344331078525</v>
      </c>
      <c r="C46" s="2">
        <v>8</v>
      </c>
      <c r="D46" s="2">
        <v>4</v>
      </c>
      <c r="F46" s="8" t="s">
        <v>26</v>
      </c>
      <c r="G46" s="8"/>
    </row>
    <row r="47" spans="1:7" ht="18" customHeight="1" x14ac:dyDescent="0.25">
      <c r="A47" s="1">
        <v>-2.33397816740157</v>
      </c>
      <c r="B47" s="1">
        <v>1.560704058582369</v>
      </c>
      <c r="C47" s="2">
        <v>8</v>
      </c>
      <c r="D47" s="2">
        <v>4</v>
      </c>
      <c r="F47" s="8"/>
      <c r="G47" s="8"/>
    </row>
    <row r="48" spans="1:7" ht="18" customHeight="1" x14ac:dyDescent="0.25">
      <c r="A48" s="1">
        <v>1.6618588273664141</v>
      </c>
      <c r="B48" s="1">
        <v>1.114363169412957</v>
      </c>
      <c r="C48" s="2">
        <v>9</v>
      </c>
      <c r="D48" s="2">
        <v>4</v>
      </c>
      <c r="F48" s="8"/>
      <c r="G48" s="8"/>
    </row>
    <row r="49" spans="1:24" ht="18" customHeight="1" x14ac:dyDescent="0.25">
      <c r="A49" s="1">
        <v>0.99886528611980574</v>
      </c>
      <c r="B49" s="1">
        <v>0.97140060226546177</v>
      </c>
      <c r="C49" s="2">
        <v>9</v>
      </c>
      <c r="D49" s="2">
        <v>4</v>
      </c>
      <c r="F49" s="8"/>
      <c r="G49" s="8"/>
    </row>
    <row r="50" spans="1:24" ht="18" customHeight="1" x14ac:dyDescent="0.25">
      <c r="A50" s="1">
        <v>1.3555223478920959</v>
      </c>
      <c r="B50" s="1">
        <v>1.119932361189881</v>
      </c>
      <c r="C50" s="2">
        <v>9</v>
      </c>
      <c r="D50" s="2">
        <v>4</v>
      </c>
      <c r="F50" s="8"/>
      <c r="G50" s="8"/>
    </row>
    <row r="51" spans="1:24" ht="18" customHeight="1" x14ac:dyDescent="0.25">
      <c r="A51" s="1">
        <v>1.235177022313422</v>
      </c>
      <c r="B51" s="1">
        <v>1.791857904934278</v>
      </c>
      <c r="C51" s="2">
        <v>9</v>
      </c>
      <c r="D51" s="2">
        <v>4</v>
      </c>
      <c r="F51" s="8"/>
      <c r="G51" s="8"/>
    </row>
    <row r="52" spans="1:24" ht="18" customHeight="1" x14ac:dyDescent="0.25">
      <c r="A52" s="1">
        <v>0.67983071661459471</v>
      </c>
      <c r="B52" s="1">
        <v>2.5487956430241052</v>
      </c>
      <c r="C52" s="2">
        <v>9</v>
      </c>
      <c r="D52" s="2">
        <v>4</v>
      </c>
      <c r="F52" s="8"/>
      <c r="G52" s="8"/>
    </row>
    <row r="53" spans="1:24" ht="18" customHeight="1" x14ac:dyDescent="0.25">
      <c r="A53" s="1">
        <v>-0.1687482554030493</v>
      </c>
      <c r="B53" s="1">
        <v>1.0125585665667169</v>
      </c>
      <c r="C53" s="2">
        <v>10</v>
      </c>
      <c r="D53" s="2">
        <v>4</v>
      </c>
    </row>
    <row r="54" spans="1:24" ht="18" customHeight="1" x14ac:dyDescent="0.25">
      <c r="A54" s="1">
        <v>-0.55286793400149903</v>
      </c>
      <c r="B54" s="1">
        <v>0.94812552067759048</v>
      </c>
      <c r="C54" s="2">
        <v>10</v>
      </c>
      <c r="D54" s="2">
        <v>4</v>
      </c>
    </row>
    <row r="55" spans="1:24" ht="18" customHeight="1" x14ac:dyDescent="0.25">
      <c r="A55" s="1">
        <v>-0.97374304090371977</v>
      </c>
      <c r="B55" s="1">
        <v>2.837386622275448</v>
      </c>
      <c r="C55" s="2">
        <v>10</v>
      </c>
      <c r="D55" s="2">
        <v>4</v>
      </c>
      <c r="F55" s="8" t="s">
        <v>27</v>
      </c>
      <c r="G55" s="8"/>
      <c r="I55" s="8" t="s">
        <v>28</v>
      </c>
      <c r="J55" s="8"/>
      <c r="K55" s="8"/>
      <c r="L55" s="8"/>
      <c r="M55" s="8"/>
      <c r="N55" s="8"/>
      <c r="O55" s="8"/>
      <c r="P55" s="8"/>
      <c r="Q55" s="8"/>
      <c r="R55" s="8"/>
      <c r="S55" s="8"/>
      <c r="T55" s="8"/>
      <c r="U55" s="8"/>
      <c r="V55" s="8"/>
      <c r="W55" s="8"/>
      <c r="X55" s="8"/>
    </row>
    <row r="56" spans="1:24" ht="18" customHeight="1" x14ac:dyDescent="0.25">
      <c r="A56" s="1">
        <v>-1.1138502985604559</v>
      </c>
      <c r="B56" s="1">
        <v>2.9518707552753249</v>
      </c>
      <c r="C56" s="2">
        <v>10</v>
      </c>
      <c r="D56" s="2">
        <v>4</v>
      </c>
      <c r="F56" s="8"/>
      <c r="G56" s="8"/>
      <c r="I56" s="8"/>
      <c r="J56" s="8"/>
      <c r="K56" s="8"/>
      <c r="L56" s="8"/>
      <c r="M56" s="8"/>
      <c r="N56" s="8"/>
      <c r="O56" s="8"/>
      <c r="P56" s="8"/>
      <c r="Q56" s="8"/>
      <c r="R56" s="8"/>
      <c r="S56" s="8"/>
      <c r="T56" s="8"/>
      <c r="U56" s="8"/>
      <c r="V56" s="8"/>
      <c r="W56" s="8"/>
      <c r="X56" s="8"/>
    </row>
    <row r="57" spans="1:24" ht="18" customHeight="1" x14ac:dyDescent="0.25">
      <c r="A57" s="1">
        <v>-0.34505400471774522</v>
      </c>
      <c r="B57" s="1">
        <v>1.2474459551232551</v>
      </c>
      <c r="C57" s="2">
        <v>10</v>
      </c>
      <c r="D57" s="2">
        <v>4</v>
      </c>
      <c r="F57" s="8"/>
      <c r="G57" s="8"/>
      <c r="I57" s="8"/>
      <c r="J57" s="8"/>
      <c r="K57" s="8"/>
      <c r="L57" s="8"/>
      <c r="M57" s="8"/>
      <c r="N57" s="8"/>
      <c r="O57" s="8"/>
      <c r="P57" s="8"/>
      <c r="Q57" s="8"/>
      <c r="R57" s="8"/>
      <c r="S57" s="8"/>
      <c r="T57" s="8"/>
      <c r="U57" s="8"/>
      <c r="V57" s="8"/>
      <c r="W57" s="8"/>
      <c r="X57" s="8"/>
    </row>
    <row r="58" spans="1:24" ht="18" customHeight="1" x14ac:dyDescent="0.25">
      <c r="A58" s="1">
        <v>-1.767822518417534</v>
      </c>
      <c r="B58" s="1">
        <v>-1.843790262267488</v>
      </c>
      <c r="C58" s="2">
        <v>1</v>
      </c>
      <c r="D58" s="2">
        <v>12</v>
      </c>
      <c r="F58" s="8"/>
      <c r="G58" s="8"/>
    </row>
    <row r="59" spans="1:24" ht="18" customHeight="1" x14ac:dyDescent="0.25">
      <c r="A59" s="1">
        <v>-1.992570903423988</v>
      </c>
      <c r="B59" s="1">
        <v>-2.097620810091668</v>
      </c>
      <c r="C59" s="2">
        <v>1</v>
      </c>
      <c r="D59" s="2">
        <v>12</v>
      </c>
      <c r="F59" s="8"/>
      <c r="G59" s="8"/>
      <c r="I59" s="8" t="s">
        <v>29</v>
      </c>
      <c r="J59" s="8"/>
      <c r="K59" s="8"/>
      <c r="L59" s="8"/>
      <c r="M59" s="8"/>
      <c r="N59" s="8"/>
      <c r="O59" s="8"/>
      <c r="P59" s="8"/>
      <c r="Q59" s="8"/>
      <c r="R59" s="8"/>
      <c r="S59" s="8"/>
      <c r="T59" s="8"/>
      <c r="U59" s="8"/>
      <c r="V59" s="8"/>
      <c r="W59" s="8"/>
      <c r="X59" s="8"/>
    </row>
    <row r="60" spans="1:24" ht="18" customHeight="1" x14ac:dyDescent="0.25">
      <c r="A60" s="1">
        <v>-2.3988776996700558</v>
      </c>
      <c r="B60" s="1">
        <v>-1.795465421738073</v>
      </c>
      <c r="C60" s="2">
        <v>1</v>
      </c>
      <c r="D60" s="2">
        <v>12</v>
      </c>
      <c r="I60" s="8"/>
      <c r="J60" s="8"/>
      <c r="K60" s="8"/>
      <c r="L60" s="8"/>
      <c r="M60" s="8"/>
      <c r="N60" s="8"/>
      <c r="O60" s="8"/>
      <c r="P60" s="8"/>
      <c r="Q60" s="8"/>
      <c r="R60" s="8"/>
      <c r="S60" s="8"/>
      <c r="T60" s="8"/>
      <c r="U60" s="8"/>
      <c r="V60" s="8"/>
      <c r="W60" s="8"/>
      <c r="X60" s="8"/>
    </row>
    <row r="61" spans="1:24" ht="18" customHeight="1" x14ac:dyDescent="0.25">
      <c r="A61" s="1">
        <v>-2.166882235223365</v>
      </c>
      <c r="B61" s="1">
        <v>-1.5638275898537619</v>
      </c>
      <c r="C61" s="2">
        <v>1</v>
      </c>
      <c r="D61" s="2">
        <v>12</v>
      </c>
      <c r="I61" s="8"/>
      <c r="J61" s="8"/>
      <c r="K61" s="8"/>
      <c r="L61" s="8"/>
      <c r="M61" s="8"/>
      <c r="N61" s="8"/>
      <c r="O61" s="8"/>
      <c r="P61" s="8"/>
      <c r="Q61" s="8"/>
      <c r="R61" s="8"/>
      <c r="S61" s="8"/>
      <c r="T61" s="8"/>
      <c r="U61" s="8"/>
      <c r="V61" s="8"/>
      <c r="W61" s="8"/>
      <c r="X61" s="8"/>
    </row>
    <row r="62" spans="1:24" ht="18" customHeight="1" x14ac:dyDescent="0.25">
      <c r="A62" s="1">
        <v>-2.807561969677423</v>
      </c>
      <c r="B62" s="1">
        <v>-2.4281065492583269</v>
      </c>
      <c r="C62" s="2">
        <v>1</v>
      </c>
      <c r="D62" s="2">
        <v>12</v>
      </c>
    </row>
    <row r="63" spans="1:24" ht="18" customHeight="1" x14ac:dyDescent="0.25">
      <c r="A63" s="1">
        <v>3.2492825755299268</v>
      </c>
      <c r="B63" s="1">
        <v>-0.69333075431565705</v>
      </c>
      <c r="C63" s="2">
        <v>2</v>
      </c>
      <c r="D63" s="2">
        <v>12</v>
      </c>
    </row>
    <row r="64" spans="1:24" ht="18" customHeight="1" x14ac:dyDescent="0.25">
      <c r="A64" s="1">
        <v>3.2561482297364668</v>
      </c>
      <c r="B64" s="1">
        <v>-0.71435543257448053</v>
      </c>
      <c r="C64" s="2">
        <v>2</v>
      </c>
      <c r="D64" s="2">
        <v>12</v>
      </c>
    </row>
    <row r="65" spans="1:4" ht="18" customHeight="1" x14ac:dyDescent="0.25">
      <c r="A65" s="1">
        <v>2.999741550333189</v>
      </c>
      <c r="B65" s="1">
        <v>-0.87123885287186342</v>
      </c>
      <c r="C65" s="2">
        <v>2</v>
      </c>
      <c r="D65" s="2">
        <v>12</v>
      </c>
    </row>
    <row r="66" spans="1:4" ht="18" customHeight="1" x14ac:dyDescent="0.25">
      <c r="A66" s="1">
        <v>2.9928758961266491</v>
      </c>
      <c r="B66" s="1">
        <v>-0.85021417461304005</v>
      </c>
      <c r="C66" s="2">
        <v>2</v>
      </c>
      <c r="D66" s="2">
        <v>12</v>
      </c>
    </row>
    <row r="67" spans="1:4" ht="18" customHeight="1" x14ac:dyDescent="0.25">
      <c r="A67" s="1">
        <v>3.0012672512679761</v>
      </c>
      <c r="B67" s="1">
        <v>-0.87591100359604657</v>
      </c>
      <c r="C67" s="2">
        <v>2</v>
      </c>
      <c r="D67" s="2">
        <v>12</v>
      </c>
    </row>
    <row r="68" spans="1:4" ht="18" customHeight="1" x14ac:dyDescent="0.25">
      <c r="A68" s="1">
        <v>-9.3342747385717101E-2</v>
      </c>
      <c r="B68" s="1">
        <v>-1.160177685085773</v>
      </c>
      <c r="C68" s="2">
        <v>3</v>
      </c>
      <c r="D68" s="2">
        <v>12</v>
      </c>
    </row>
    <row r="69" spans="1:4" ht="18" customHeight="1" x14ac:dyDescent="0.25">
      <c r="A69" s="1">
        <v>-0.18011604887558011</v>
      </c>
      <c r="B69" s="1">
        <v>-0.23512756584318059</v>
      </c>
      <c r="C69" s="2">
        <v>3</v>
      </c>
      <c r="D69" s="2">
        <v>12</v>
      </c>
    </row>
    <row r="70" spans="1:4" ht="18" customHeight="1" x14ac:dyDescent="0.25">
      <c r="A70" s="1">
        <v>-0.23170406078162711</v>
      </c>
      <c r="B70" s="1">
        <v>0.8171638837715427</v>
      </c>
      <c r="C70" s="2">
        <v>3</v>
      </c>
      <c r="D70" s="2">
        <v>12</v>
      </c>
    </row>
    <row r="71" spans="1:4" ht="18" customHeight="1" x14ac:dyDescent="0.25">
      <c r="A71" s="1">
        <v>0.22587318820079419</v>
      </c>
      <c r="B71" s="1">
        <v>4.505809608551592E-2</v>
      </c>
      <c r="C71" s="2">
        <v>3</v>
      </c>
      <c r="D71" s="2">
        <v>12</v>
      </c>
    </row>
    <row r="72" spans="1:4" ht="18" customHeight="1" x14ac:dyDescent="0.25">
      <c r="A72" s="1">
        <v>-3.9874376092958908E-2</v>
      </c>
      <c r="B72" s="1">
        <v>-1.0236767782742391</v>
      </c>
      <c r="C72" s="2">
        <v>3</v>
      </c>
      <c r="D72" s="2">
        <v>12</v>
      </c>
    </row>
    <row r="73" spans="1:4" ht="18" customHeight="1" x14ac:dyDescent="0.25">
      <c r="A73" s="1">
        <v>-2.2670134768497281</v>
      </c>
      <c r="B73" s="1">
        <v>-1.2470498383648621</v>
      </c>
      <c r="C73" s="2">
        <v>4</v>
      </c>
      <c r="D73" s="2">
        <v>12</v>
      </c>
    </row>
    <row r="74" spans="1:4" ht="18" customHeight="1" x14ac:dyDescent="0.25">
      <c r="A74" s="1">
        <v>-2.4934572524477949</v>
      </c>
      <c r="B74" s="1">
        <v>-0.19452411001746631</v>
      </c>
      <c r="C74" s="2">
        <v>4</v>
      </c>
      <c r="D74" s="2">
        <v>12</v>
      </c>
    </row>
    <row r="75" spans="1:4" ht="18" customHeight="1" x14ac:dyDescent="0.25">
      <c r="A75" s="1">
        <v>-1.982194650871141</v>
      </c>
      <c r="B75" s="1">
        <v>-0.23671684805739501</v>
      </c>
      <c r="C75" s="2">
        <v>4</v>
      </c>
      <c r="D75" s="2">
        <v>12</v>
      </c>
    </row>
    <row r="76" spans="1:4" ht="18" customHeight="1" x14ac:dyDescent="0.25">
      <c r="A76" s="1">
        <v>-2.1071930419062599</v>
      </c>
      <c r="B76" s="1">
        <v>-0.46234018297597351</v>
      </c>
      <c r="C76" s="2">
        <v>4</v>
      </c>
      <c r="D76" s="2">
        <v>12</v>
      </c>
    </row>
    <row r="77" spans="1:4" ht="18" customHeight="1" x14ac:dyDescent="0.25">
      <c r="A77" s="1">
        <v>-2.6931624519182078</v>
      </c>
      <c r="B77" s="1">
        <v>0.99678026389909569</v>
      </c>
      <c r="C77" s="2">
        <v>4</v>
      </c>
      <c r="D77" s="2">
        <v>12</v>
      </c>
    </row>
    <row r="78" spans="1:4" ht="18" customHeight="1" x14ac:dyDescent="0.25">
      <c r="A78" s="1">
        <v>1.465937306432969</v>
      </c>
      <c r="B78" s="1">
        <v>-0.22006556867212379</v>
      </c>
      <c r="C78" s="2">
        <v>5</v>
      </c>
      <c r="D78" s="2">
        <v>12</v>
      </c>
    </row>
    <row r="79" spans="1:4" ht="18" customHeight="1" x14ac:dyDescent="0.25">
      <c r="A79" s="1">
        <v>1.499121301764579</v>
      </c>
      <c r="B79" s="1">
        <v>-0.3216848469231034</v>
      </c>
      <c r="C79" s="2">
        <v>5</v>
      </c>
      <c r="D79" s="2">
        <v>12</v>
      </c>
    </row>
    <row r="80" spans="1:4" ht="18" customHeight="1" x14ac:dyDescent="0.25">
      <c r="A80" s="1">
        <v>1.2442403232960879</v>
      </c>
      <c r="B80" s="1">
        <v>-0.48324041794466938</v>
      </c>
      <c r="C80" s="2">
        <v>5</v>
      </c>
      <c r="D80" s="2">
        <v>12</v>
      </c>
    </row>
    <row r="81" spans="1:4" ht="18" customHeight="1" x14ac:dyDescent="0.25">
      <c r="A81" s="1">
        <v>1.1595639214154281</v>
      </c>
      <c r="B81" s="1">
        <v>-0.2239360527525143</v>
      </c>
      <c r="C81" s="2">
        <v>5</v>
      </c>
      <c r="D81" s="2">
        <v>12</v>
      </c>
    </row>
    <row r="82" spans="1:4" ht="18" customHeight="1" x14ac:dyDescent="0.25">
      <c r="A82" s="1">
        <v>1.2102934774970839</v>
      </c>
      <c r="B82" s="1">
        <v>-0.37928506433159809</v>
      </c>
      <c r="C82" s="2">
        <v>5</v>
      </c>
      <c r="D82" s="2">
        <v>12</v>
      </c>
    </row>
    <row r="83" spans="1:4" ht="18" customHeight="1" x14ac:dyDescent="0.25">
      <c r="A83" s="1">
        <v>1.482616894200647</v>
      </c>
      <c r="B83" s="1">
        <v>3.2999813307242998E-2</v>
      </c>
      <c r="C83" s="2">
        <v>6</v>
      </c>
      <c r="D83" s="2">
        <v>12</v>
      </c>
    </row>
    <row r="84" spans="1:4" ht="18" customHeight="1" x14ac:dyDescent="0.25">
      <c r="A84" s="1">
        <v>1.244137200781112</v>
      </c>
      <c r="B84" s="1">
        <v>-0.1787813779992902</v>
      </c>
      <c r="C84" s="2">
        <v>6</v>
      </c>
      <c r="D84" s="2">
        <v>12</v>
      </c>
    </row>
    <row r="85" spans="1:4" ht="18" customHeight="1" x14ac:dyDescent="0.25">
      <c r="A85" s="1">
        <v>1.8027215876312681</v>
      </c>
      <c r="B85" s="1">
        <v>-5.1790591300132083E-3</v>
      </c>
      <c r="C85" s="2">
        <v>6</v>
      </c>
      <c r="D85" s="2">
        <v>12</v>
      </c>
    </row>
    <row r="86" spans="1:4" ht="18" customHeight="1" x14ac:dyDescent="0.25">
      <c r="A86" s="1">
        <v>1.307453789574758</v>
      </c>
      <c r="B86" s="1">
        <v>-0.3726756330528837</v>
      </c>
      <c r="C86" s="2">
        <v>6</v>
      </c>
      <c r="D86" s="2">
        <v>12</v>
      </c>
    </row>
    <row r="87" spans="1:4" ht="18" customHeight="1" x14ac:dyDescent="0.25">
      <c r="A87" s="1">
        <v>2.186142869855535</v>
      </c>
      <c r="B87" s="1">
        <v>-0.23725218662086339</v>
      </c>
      <c r="C87" s="2">
        <v>6</v>
      </c>
      <c r="D87" s="2">
        <v>12</v>
      </c>
    </row>
    <row r="88" spans="1:4" ht="18" customHeight="1" x14ac:dyDescent="0.25">
      <c r="A88" s="1">
        <v>-1.175402684952056</v>
      </c>
      <c r="B88" s="1">
        <v>0.80620280432413938</v>
      </c>
      <c r="C88" s="2">
        <v>7</v>
      </c>
      <c r="D88" s="2">
        <v>12</v>
      </c>
    </row>
    <row r="89" spans="1:4" ht="18" customHeight="1" x14ac:dyDescent="0.25">
      <c r="A89" s="1">
        <v>-6.1446662894574337E-2</v>
      </c>
      <c r="B89" s="1">
        <v>0.15754199997399179</v>
      </c>
      <c r="C89" s="2">
        <v>7</v>
      </c>
      <c r="D89" s="2">
        <v>12</v>
      </c>
    </row>
    <row r="90" spans="1:4" ht="18" customHeight="1" x14ac:dyDescent="0.25">
      <c r="A90" s="1">
        <v>-0.95727267083094691</v>
      </c>
      <c r="B90" s="1">
        <v>1.3279979576688019</v>
      </c>
      <c r="C90" s="2">
        <v>7</v>
      </c>
      <c r="D90" s="2">
        <v>12</v>
      </c>
    </row>
    <row r="91" spans="1:4" ht="18" customHeight="1" x14ac:dyDescent="0.25">
      <c r="A91" s="1">
        <v>-0.76434583422023727</v>
      </c>
      <c r="B91" s="1">
        <v>0.46246428209765872</v>
      </c>
      <c r="C91" s="2">
        <v>7</v>
      </c>
      <c r="D91" s="2">
        <v>12</v>
      </c>
    </row>
    <row r="92" spans="1:4" ht="18" customHeight="1" x14ac:dyDescent="0.25">
      <c r="A92" s="1">
        <v>-0.61999577521378935</v>
      </c>
      <c r="B92" s="1">
        <v>-0.64367936491149813</v>
      </c>
      <c r="C92" s="2">
        <v>7</v>
      </c>
      <c r="D92" s="2">
        <v>12</v>
      </c>
    </row>
    <row r="93" spans="1:4" ht="18" customHeight="1" x14ac:dyDescent="0.25">
      <c r="A93" s="1">
        <v>-0.78770413596712852</v>
      </c>
      <c r="B93" s="1">
        <v>-0.66440089257815127</v>
      </c>
      <c r="C93" s="2">
        <v>8</v>
      </c>
      <c r="D93" s="2">
        <v>12</v>
      </c>
    </row>
    <row r="94" spans="1:4" ht="18" customHeight="1" x14ac:dyDescent="0.25">
      <c r="A94" s="1">
        <v>-1.1253662393959041</v>
      </c>
      <c r="B94" s="1">
        <v>-0.22130023331122761</v>
      </c>
      <c r="C94" s="2">
        <v>8</v>
      </c>
      <c r="D94" s="2">
        <v>12</v>
      </c>
    </row>
    <row r="95" spans="1:4" ht="18" customHeight="1" x14ac:dyDescent="0.25">
      <c r="A95" s="1">
        <v>-0.72744916727888076</v>
      </c>
      <c r="B95" s="1">
        <v>0.13929992919171219</v>
      </c>
      <c r="C95" s="2">
        <v>8</v>
      </c>
      <c r="D95" s="2">
        <v>12</v>
      </c>
    </row>
    <row r="96" spans="1:4" ht="18" customHeight="1" x14ac:dyDescent="0.25">
      <c r="A96" s="1">
        <v>-1.0836394841721531</v>
      </c>
      <c r="B96" s="1">
        <v>1.218887063878469</v>
      </c>
      <c r="C96" s="2">
        <v>8</v>
      </c>
      <c r="D96" s="2">
        <v>12</v>
      </c>
    </row>
    <row r="97" spans="1:7" ht="18" customHeight="1" x14ac:dyDescent="0.25">
      <c r="A97" s="1">
        <v>-0.41107143483838959</v>
      </c>
      <c r="B97" s="1">
        <v>0.41754745365150869</v>
      </c>
      <c r="C97" s="2">
        <v>8</v>
      </c>
      <c r="D97" s="2">
        <v>12</v>
      </c>
    </row>
    <row r="98" spans="1:7" ht="18" customHeight="1" x14ac:dyDescent="0.25">
      <c r="A98" s="1">
        <v>-0.116623906679634</v>
      </c>
      <c r="B98" s="1">
        <v>3.6060769451119128E-2</v>
      </c>
      <c r="C98" s="2">
        <v>9</v>
      </c>
      <c r="D98" s="2">
        <v>12</v>
      </c>
    </row>
    <row r="99" spans="1:7" ht="18" customHeight="1" x14ac:dyDescent="0.25">
      <c r="A99" s="1">
        <v>1.0423030242439431</v>
      </c>
      <c r="B99" s="1">
        <v>0.2111575941759731</v>
      </c>
      <c r="C99" s="2">
        <v>9</v>
      </c>
      <c r="D99" s="2">
        <v>12</v>
      </c>
    </row>
    <row r="100" spans="1:7" ht="18" customHeight="1" x14ac:dyDescent="0.25">
      <c r="A100" s="1">
        <v>0.44076899073687781</v>
      </c>
      <c r="B100" s="1">
        <v>1.737046937688548</v>
      </c>
      <c r="C100" s="2">
        <v>9</v>
      </c>
      <c r="D100" s="2">
        <v>12</v>
      </c>
    </row>
    <row r="101" spans="1:7" ht="18" customHeight="1" x14ac:dyDescent="0.25">
      <c r="A101" s="1">
        <v>0.28261861687652517</v>
      </c>
      <c r="B101" s="1">
        <v>-0.28869360874231981</v>
      </c>
      <c r="C101" s="2">
        <v>9</v>
      </c>
      <c r="D101" s="2">
        <v>12</v>
      </c>
    </row>
    <row r="102" spans="1:7" ht="18" customHeight="1" x14ac:dyDescent="0.25">
      <c r="A102" s="1">
        <v>0.39696378867553528</v>
      </c>
      <c r="B102" s="1">
        <v>0.96732523247794555</v>
      </c>
      <c r="C102" s="2">
        <v>9</v>
      </c>
      <c r="D102" s="2">
        <v>12</v>
      </c>
    </row>
    <row r="103" spans="1:7" ht="18" customHeight="1" x14ac:dyDescent="0.25">
      <c r="A103" s="1">
        <v>-1.2925370278874231</v>
      </c>
      <c r="B103" s="1">
        <v>0.2504893664786364</v>
      </c>
      <c r="C103" s="2">
        <v>10</v>
      </c>
      <c r="D103" s="2">
        <v>12</v>
      </c>
    </row>
    <row r="104" spans="1:7" ht="18" customHeight="1" x14ac:dyDescent="0.25">
      <c r="A104" s="1">
        <v>-0.72881493144033493</v>
      </c>
      <c r="B104" s="1">
        <v>6.1023797263263679E-2</v>
      </c>
      <c r="C104" s="2">
        <v>10</v>
      </c>
      <c r="D104" s="2">
        <v>12</v>
      </c>
    </row>
    <row r="105" spans="1:7" ht="18" customHeight="1" x14ac:dyDescent="0.25">
      <c r="A105" s="1">
        <v>-0.40985451371080373</v>
      </c>
      <c r="B105" s="1">
        <v>2.6349037869144332E-2</v>
      </c>
      <c r="C105" s="2">
        <v>10</v>
      </c>
      <c r="D105" s="2">
        <v>12</v>
      </c>
    </row>
    <row r="106" spans="1:7" ht="18" customHeight="1" x14ac:dyDescent="0.25">
      <c r="A106" s="1">
        <v>-0.68740317565555376</v>
      </c>
      <c r="B106" s="1">
        <v>0.27899597218631172</v>
      </c>
      <c r="C106" s="2">
        <v>10</v>
      </c>
      <c r="D106" s="2">
        <v>12</v>
      </c>
    </row>
    <row r="107" spans="1:7" ht="18" customHeight="1" x14ac:dyDescent="0.25">
      <c r="A107" s="1">
        <v>-1.399632064002051</v>
      </c>
      <c r="B107" s="1">
        <v>2.4440740129043541</v>
      </c>
      <c r="C107" s="2">
        <v>10</v>
      </c>
      <c r="D107" s="2">
        <v>12</v>
      </c>
    </row>
    <row r="109" spans="1:7" ht="18" customHeight="1" x14ac:dyDescent="0.25">
      <c r="A109" s="8" t="s">
        <v>30</v>
      </c>
      <c r="B109" s="8"/>
      <c r="C109" s="8"/>
      <c r="D109" s="8"/>
      <c r="E109" s="8"/>
      <c r="F109" s="8"/>
      <c r="G109" s="8"/>
    </row>
    <row r="110" spans="1:7" ht="18" customHeight="1" x14ac:dyDescent="0.25">
      <c r="A110" s="8"/>
      <c r="B110" s="8"/>
      <c r="C110" s="8"/>
      <c r="D110" s="8"/>
      <c r="E110" s="8"/>
      <c r="F110" s="8"/>
      <c r="G110" s="8"/>
    </row>
    <row r="111" spans="1:7" ht="18" customHeight="1" x14ac:dyDescent="0.25">
      <c r="A111" s="8"/>
      <c r="B111" s="8"/>
      <c r="C111" s="8"/>
      <c r="D111" s="8"/>
      <c r="E111" s="8"/>
      <c r="F111" s="8"/>
      <c r="G111" s="8"/>
    </row>
  </sheetData>
  <mergeCells count="17">
    <mergeCell ref="A109:G111"/>
    <mergeCell ref="F32:G36"/>
    <mergeCell ref="F38:G43"/>
    <mergeCell ref="F46:G52"/>
    <mergeCell ref="F55:G59"/>
    <mergeCell ref="I55:X57"/>
    <mergeCell ref="I59:X61"/>
    <mergeCell ref="A6:D6"/>
    <mergeCell ref="F6:G6"/>
    <mergeCell ref="F18:G18"/>
    <mergeCell ref="F20:G24"/>
    <mergeCell ref="F26:G30"/>
    <mergeCell ref="A1:X2"/>
    <mergeCell ref="A3:X3"/>
    <mergeCell ref="A5:D5"/>
    <mergeCell ref="F5:G5"/>
    <mergeCell ref="I5:X5"/>
  </mergeCells>
  <conditionalFormatting sqref="G8:G15">
    <cfRule type="cellIs" dxfId="0" priority="1" operator="greaterThan">
      <formula>1</formula>
    </cfRule>
  </conditionalFormatting>
  <pageMargins left="0.25" right="0.25" top="0.35" bottom="0.35" header="0.3" footer="0.3"/>
  <pageSetup paperSize="8" fitToHeight="0" orientation="landscape"/>
  <headerFooter>
    <oddHeader>&amp;LPLS-DA | Source data and figures&amp;RResearch workbook</oddHeader>
    <oddFooter>&amp;LNative Excel charts · source values preserved&amp;RPage &amp;P of &amp;N</oddFooter>
  </headerFooter>
  <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PLS-DA Data &amp; Figures</vt:lpstr>
      <vt:lpstr>'PLS-DA Data &amp; Figures'!Print_Area</vt:lpstr>
      <vt:lpstr>'PLS-DA Data &amp; Figures'!Print_Titles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PLS-DA | Scores and biomarker importance</dc:title>
  <dc:subject>Source data and editable 16:9 Excel charts</dc:subject>
  <dc:creator>Research visualization</dc:creator>
  <dc:description>Source CSV values retained without transformations. Native Excel charts, not embedded images.</dc:description>
  <cp:lastModifiedBy>achint chaudhary</cp:lastModifiedBy>
  <dcterms:created xsi:type="dcterms:W3CDTF">2026-09-27T07:23:35Z</dcterms:created>
  <dcterms:modified xsi:type="dcterms:W3CDTF">2026-09-27T07:26:00Z</dcterms:modified>
</cp:coreProperties>
</file>