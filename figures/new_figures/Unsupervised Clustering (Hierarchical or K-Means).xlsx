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d.docs.live.net/a906389ec4008a6a/My Drive/0 Extras/Pooja/naha_madam/hyperalgesia/figures/new/"/>
    </mc:Choice>
  </mc:AlternateContent>
  <xr:revisionPtr revIDLastSave="1" documentId="11_5AD4E9FEC9D1C4196F6AB2005581C9D76CA1AA66" xr6:coauthVersionLast="47" xr6:coauthVersionMax="47" xr10:uidLastSave="{A7EB12FF-FE56-4FB7-ADFF-75EECA2764A6}"/>
  <bookViews>
    <workbookView xWindow="-120" yWindow="-120" windowWidth="29040" windowHeight="16440" xr2:uid="{00000000-000D-0000-FFFF-FFFF00000000}"/>
  </bookViews>
  <sheets>
    <sheet name="Combined Clustermap" sheetId="1" r:id="rId1"/>
  </sheets>
  <definedNames>
    <definedName name="_xlnm.Print_Area" localSheetId="0">'Combined Clustermap'!$A$1:$M$127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636" i="1" l="1"/>
  <c r="BA635" i="1"/>
  <c r="BA631" i="1"/>
  <c r="BA630" i="1"/>
  <c r="BA626" i="1"/>
  <c r="BA625" i="1"/>
  <c r="BA621" i="1"/>
  <c r="BA620" i="1"/>
  <c r="BA616" i="1"/>
  <c r="BA615" i="1"/>
  <c r="BA611" i="1"/>
  <c r="BA610" i="1"/>
  <c r="BA606" i="1"/>
  <c r="BA605" i="1"/>
  <c r="BA601" i="1"/>
  <c r="BA600" i="1"/>
  <c r="BA596" i="1"/>
  <c r="BA595" i="1"/>
  <c r="BA591" i="1"/>
  <c r="BA590" i="1"/>
  <c r="BA586" i="1"/>
  <c r="BA585" i="1"/>
  <c r="BA581" i="1"/>
  <c r="BA580" i="1"/>
  <c r="BA576" i="1"/>
  <c r="BA575" i="1"/>
  <c r="BA571" i="1"/>
  <c r="BA570" i="1"/>
  <c r="BA566" i="1"/>
  <c r="BA565" i="1"/>
  <c r="BA561" i="1"/>
  <c r="BA560" i="1"/>
  <c r="BA556" i="1"/>
  <c r="BA555" i="1"/>
  <c r="BA551" i="1"/>
  <c r="BA550" i="1"/>
  <c r="BA546" i="1"/>
  <c r="BA545" i="1"/>
  <c r="BA541" i="1"/>
  <c r="BA540" i="1"/>
  <c r="BA536" i="1"/>
  <c r="BA535" i="1"/>
  <c r="BA531" i="1"/>
  <c r="BA530" i="1"/>
  <c r="BA526" i="1"/>
  <c r="BA525" i="1"/>
  <c r="BA521" i="1"/>
  <c r="BA520" i="1"/>
  <c r="BA516" i="1"/>
  <c r="BA515" i="1"/>
  <c r="BA511" i="1"/>
  <c r="BA510" i="1"/>
  <c r="BA506" i="1"/>
  <c r="BA505" i="1"/>
  <c r="BA501" i="1"/>
  <c r="BA500" i="1"/>
  <c r="BA496" i="1"/>
  <c r="BA495" i="1"/>
  <c r="BA491" i="1"/>
  <c r="BA490" i="1"/>
  <c r="BA486" i="1"/>
  <c r="BA485" i="1"/>
  <c r="BA481" i="1"/>
  <c r="BA480" i="1"/>
  <c r="BA476" i="1"/>
  <c r="BA475" i="1"/>
  <c r="BA471" i="1"/>
  <c r="BA470" i="1"/>
  <c r="BA466" i="1"/>
  <c r="BA465" i="1"/>
  <c r="BA461" i="1"/>
  <c r="BA460" i="1"/>
  <c r="BA456" i="1"/>
  <c r="BA455" i="1"/>
  <c r="BA451" i="1"/>
  <c r="BA450" i="1"/>
  <c r="BA446" i="1"/>
  <c r="BA445" i="1"/>
  <c r="BA441" i="1"/>
  <c r="BA440" i="1"/>
  <c r="BA436" i="1"/>
  <c r="BA435" i="1"/>
  <c r="BA431" i="1"/>
  <c r="BA430" i="1"/>
  <c r="BA426" i="1"/>
  <c r="BA425" i="1"/>
  <c r="BA421" i="1"/>
  <c r="BA420" i="1"/>
  <c r="BA416" i="1"/>
  <c r="BA415" i="1"/>
  <c r="BA411" i="1"/>
  <c r="BA410" i="1"/>
  <c r="BA406" i="1"/>
  <c r="BA405" i="1"/>
  <c r="BA401" i="1"/>
  <c r="BA400" i="1"/>
  <c r="BA396" i="1"/>
  <c r="BA395" i="1"/>
  <c r="BA391" i="1"/>
  <c r="BA390" i="1"/>
  <c r="BA386" i="1"/>
  <c r="BA385" i="1"/>
  <c r="BA381" i="1"/>
  <c r="BA380" i="1"/>
  <c r="BA376" i="1"/>
  <c r="BA375" i="1"/>
  <c r="BA371" i="1"/>
  <c r="BA370" i="1"/>
  <c r="BA366" i="1"/>
  <c r="BA365" i="1"/>
  <c r="BA361" i="1"/>
  <c r="BA360" i="1"/>
  <c r="BA356" i="1"/>
  <c r="BA355" i="1"/>
  <c r="BA351" i="1"/>
  <c r="BA350" i="1"/>
  <c r="BA346" i="1"/>
  <c r="BA345" i="1"/>
  <c r="BA341" i="1"/>
  <c r="BA340" i="1"/>
  <c r="BA336" i="1"/>
  <c r="BA335" i="1"/>
  <c r="BA331" i="1"/>
  <c r="BA330" i="1"/>
  <c r="BA326" i="1"/>
  <c r="BA325" i="1"/>
  <c r="BA321" i="1"/>
  <c r="BA320" i="1"/>
  <c r="BA316" i="1"/>
  <c r="BA315" i="1"/>
  <c r="BA311" i="1"/>
  <c r="BA310" i="1"/>
  <c r="BA306" i="1"/>
  <c r="BA305" i="1"/>
  <c r="BA301" i="1"/>
  <c r="BA300" i="1"/>
  <c r="BA296" i="1"/>
  <c r="BA295" i="1"/>
  <c r="BA291" i="1"/>
  <c r="BA290" i="1"/>
  <c r="BA286" i="1"/>
  <c r="BA285" i="1"/>
  <c r="BA281" i="1"/>
  <c r="BA280" i="1"/>
  <c r="Q153" i="1"/>
  <c r="Q152" i="1"/>
  <c r="Q151" i="1"/>
  <c r="Q150" i="1"/>
  <c r="BA276" i="1"/>
  <c r="Q149" i="1"/>
  <c r="BA275" i="1"/>
  <c r="Q148" i="1"/>
  <c r="Q147" i="1"/>
  <c r="Q146" i="1"/>
  <c r="Q145" i="1"/>
  <c r="BA271" i="1"/>
  <c r="Q144" i="1"/>
  <c r="BA270" i="1"/>
  <c r="Q143" i="1"/>
  <c r="Q142" i="1"/>
  <c r="Q141" i="1"/>
  <c r="Q140" i="1"/>
  <c r="BA266" i="1"/>
  <c r="Q139" i="1"/>
  <c r="BA265" i="1"/>
  <c r="Q138" i="1"/>
  <c r="Q137" i="1"/>
  <c r="Q136" i="1"/>
  <c r="Q135" i="1"/>
  <c r="BA261" i="1"/>
  <c r="Q134" i="1"/>
  <c r="BA260" i="1"/>
  <c r="BA256" i="1"/>
  <c r="BA255" i="1"/>
  <c r="AC128" i="1"/>
  <c r="X128" i="1"/>
  <c r="W128" i="1"/>
  <c r="V128" i="1"/>
  <c r="U128" i="1"/>
  <c r="T128" i="1"/>
  <c r="S128" i="1"/>
  <c r="R128" i="1"/>
  <c r="Q128" i="1"/>
  <c r="P128" i="1"/>
  <c r="AW254" i="1"/>
  <c r="AV254" i="1"/>
  <c r="AC127" i="1"/>
  <c r="X127" i="1"/>
  <c r="W127" i="1"/>
  <c r="V127" i="1"/>
  <c r="U127" i="1"/>
  <c r="T127" i="1"/>
  <c r="S127" i="1"/>
  <c r="R127" i="1"/>
  <c r="Q127" i="1"/>
  <c r="P127" i="1"/>
  <c r="AW253" i="1"/>
  <c r="AV253" i="1"/>
  <c r="AC126" i="1"/>
  <c r="AS253" i="1" s="1"/>
  <c r="X126" i="1"/>
  <c r="W126" i="1"/>
  <c r="V126" i="1"/>
  <c r="U126" i="1"/>
  <c r="T126" i="1"/>
  <c r="S126" i="1"/>
  <c r="R126" i="1"/>
  <c r="Q126" i="1"/>
  <c r="P126" i="1"/>
  <c r="AW252" i="1"/>
  <c r="AV252" i="1"/>
  <c r="AC125" i="1"/>
  <c r="X125" i="1"/>
  <c r="W125" i="1"/>
  <c r="V125" i="1"/>
  <c r="U125" i="1"/>
  <c r="T125" i="1"/>
  <c r="S125" i="1"/>
  <c r="R125" i="1"/>
  <c r="Q125" i="1"/>
  <c r="P125" i="1"/>
  <c r="BA251" i="1"/>
  <c r="AW251" i="1"/>
  <c r="AV251" i="1"/>
  <c r="AT251" i="1"/>
  <c r="AU251" i="1" s="1"/>
  <c r="AT253" i="1" s="1"/>
  <c r="AS251" i="1"/>
  <c r="AC124" i="1"/>
  <c r="X124" i="1"/>
  <c r="W124" i="1"/>
  <c r="V124" i="1"/>
  <c r="U124" i="1"/>
  <c r="T124" i="1"/>
  <c r="S124" i="1"/>
  <c r="R124" i="1"/>
  <c r="Q124" i="1"/>
  <c r="P124" i="1"/>
  <c r="BA250" i="1"/>
  <c r="AW250" i="1"/>
  <c r="AV250" i="1"/>
  <c r="AT250" i="1"/>
  <c r="BF146" i="1" s="1"/>
  <c r="AS250" i="1"/>
  <c r="AC123" i="1"/>
  <c r="AS252" i="1" s="1"/>
  <c r="X123" i="1"/>
  <c r="W123" i="1"/>
  <c r="V123" i="1"/>
  <c r="U123" i="1"/>
  <c r="T123" i="1"/>
  <c r="S123" i="1"/>
  <c r="R123" i="1"/>
  <c r="Q123" i="1"/>
  <c r="P123" i="1"/>
  <c r="BA246" i="1"/>
  <c r="BA245" i="1"/>
  <c r="BA244" i="1"/>
  <c r="AK116" i="1"/>
  <c r="AT163" i="1" s="1"/>
  <c r="AJ116" i="1"/>
  <c r="L113" i="1" s="1"/>
  <c r="AI116" i="1"/>
  <c r="AH116" i="1"/>
  <c r="AG116" i="1"/>
  <c r="AF116" i="1"/>
  <c r="AE116" i="1"/>
  <c r="AD116" i="1"/>
  <c r="AC116" i="1"/>
  <c r="AB116" i="1"/>
  <c r="AW242" i="1"/>
  <c r="BA637" i="1" s="1"/>
  <c r="AV242" i="1"/>
  <c r="BA634" i="1" s="1"/>
  <c r="AK115" i="1"/>
  <c r="AS163" i="1" s="1"/>
  <c r="AJ115" i="1"/>
  <c r="AI115" i="1"/>
  <c r="K112" i="1" s="1"/>
  <c r="AH115" i="1"/>
  <c r="AG115" i="1"/>
  <c r="AF115" i="1"/>
  <c r="H112" i="1" s="1"/>
  <c r="AE115" i="1"/>
  <c r="AD115" i="1"/>
  <c r="AC115" i="1"/>
  <c r="AB115" i="1"/>
  <c r="BA241" i="1"/>
  <c r="AW241" i="1"/>
  <c r="BA632" i="1" s="1"/>
  <c r="AV241" i="1"/>
  <c r="BA629" i="1" s="1"/>
  <c r="AK114" i="1"/>
  <c r="AS175" i="1" s="1"/>
  <c r="AJ114" i="1"/>
  <c r="L111" i="1" s="1"/>
  <c r="AI114" i="1"/>
  <c r="AH114" i="1"/>
  <c r="AG114" i="1"/>
  <c r="AF114" i="1"/>
  <c r="AE114" i="1"/>
  <c r="AD114" i="1"/>
  <c r="AC114" i="1"/>
  <c r="D111" i="1" s="1"/>
  <c r="AB114" i="1"/>
  <c r="BA240" i="1"/>
  <c r="AW240" i="1"/>
  <c r="BA627" i="1" s="1"/>
  <c r="AV240" i="1"/>
  <c r="BA624" i="1" s="1"/>
  <c r="AK113" i="1"/>
  <c r="AJ113" i="1"/>
  <c r="AI113" i="1"/>
  <c r="AH113" i="1"/>
  <c r="AG113" i="1"/>
  <c r="AF113" i="1"/>
  <c r="AE113" i="1"/>
  <c r="AD113" i="1"/>
  <c r="AC113" i="1"/>
  <c r="D110" i="1" s="1"/>
  <c r="AB113" i="1"/>
  <c r="BA239" i="1"/>
  <c r="AW239" i="1"/>
  <c r="BA622" i="1" s="1"/>
  <c r="AV239" i="1"/>
  <c r="BA619" i="1" s="1"/>
  <c r="AK112" i="1"/>
  <c r="AJ112" i="1"/>
  <c r="AI112" i="1"/>
  <c r="AH112" i="1"/>
  <c r="AG112" i="1"/>
  <c r="AF112" i="1"/>
  <c r="AE112" i="1"/>
  <c r="AD112" i="1"/>
  <c r="E109" i="1" s="1"/>
  <c r="AC112" i="1"/>
  <c r="AB112" i="1"/>
  <c r="AW238" i="1"/>
  <c r="BA617" i="1" s="1"/>
  <c r="AV238" i="1"/>
  <c r="BA614" i="1" s="1"/>
  <c r="AK111" i="1"/>
  <c r="AJ111" i="1"/>
  <c r="AI111" i="1"/>
  <c r="K108" i="1" s="1"/>
  <c r="AH111" i="1"/>
  <c r="AG111" i="1"/>
  <c r="AF111" i="1"/>
  <c r="AE111" i="1"/>
  <c r="AD111" i="1"/>
  <c r="AC111" i="1"/>
  <c r="AB111" i="1"/>
  <c r="BA237" i="1"/>
  <c r="AW237" i="1"/>
  <c r="BA612" i="1" s="1"/>
  <c r="AV237" i="1"/>
  <c r="BA609" i="1" s="1"/>
  <c r="AK110" i="1"/>
  <c r="AJ110" i="1"/>
  <c r="AI110" i="1"/>
  <c r="AH110" i="1"/>
  <c r="AG110" i="1"/>
  <c r="I107" i="1" s="1"/>
  <c r="AF110" i="1"/>
  <c r="AE110" i="1"/>
  <c r="AD110" i="1"/>
  <c r="AC110" i="1"/>
  <c r="AB110" i="1"/>
  <c r="BA236" i="1"/>
  <c r="AW236" i="1"/>
  <c r="BA607" i="1" s="1"/>
  <c r="AV236" i="1"/>
  <c r="BA604" i="1" s="1"/>
  <c r="AK109" i="1"/>
  <c r="AJ109" i="1"/>
  <c r="AI109" i="1"/>
  <c r="AH109" i="1"/>
  <c r="J106" i="1" s="1"/>
  <c r="AG109" i="1"/>
  <c r="AF109" i="1"/>
  <c r="AE109" i="1"/>
  <c r="G106" i="1" s="1"/>
  <c r="AD109" i="1"/>
  <c r="AC109" i="1"/>
  <c r="D106" i="1" s="1"/>
  <c r="AB109" i="1"/>
  <c r="C106" i="1" s="1"/>
  <c r="BA235" i="1"/>
  <c r="AW235" i="1"/>
  <c r="BA602" i="1" s="1"/>
  <c r="AV235" i="1"/>
  <c r="BA599" i="1" s="1"/>
  <c r="AK108" i="1"/>
  <c r="AT203" i="1" s="1"/>
  <c r="BB442" i="1" s="1"/>
  <c r="AJ108" i="1"/>
  <c r="AI108" i="1"/>
  <c r="AH108" i="1"/>
  <c r="AG108" i="1"/>
  <c r="AF108" i="1"/>
  <c r="AE108" i="1"/>
  <c r="G105" i="1" s="1"/>
  <c r="AD108" i="1"/>
  <c r="AC108" i="1"/>
  <c r="AB108" i="1"/>
  <c r="C105" i="1" s="1"/>
  <c r="BA234" i="1"/>
  <c r="AW234" i="1"/>
  <c r="BA597" i="1" s="1"/>
  <c r="AV234" i="1"/>
  <c r="BA594" i="1" s="1"/>
  <c r="AK107" i="1"/>
  <c r="AJ107" i="1"/>
  <c r="AI107" i="1"/>
  <c r="AH107" i="1"/>
  <c r="AG107" i="1"/>
  <c r="AF107" i="1"/>
  <c r="AE107" i="1"/>
  <c r="G104" i="1" s="1"/>
  <c r="AD107" i="1"/>
  <c r="E104" i="1" s="1"/>
  <c r="AC107" i="1"/>
  <c r="D104" i="1" s="1"/>
  <c r="AB107" i="1"/>
  <c r="C104" i="1" s="1"/>
  <c r="AW233" i="1"/>
  <c r="BA592" i="1" s="1"/>
  <c r="AV233" i="1"/>
  <c r="BA589" i="1" s="1"/>
  <c r="AK106" i="1"/>
  <c r="AT173" i="1" s="1"/>
  <c r="BB292" i="1" s="1"/>
  <c r="AJ106" i="1"/>
  <c r="AI106" i="1"/>
  <c r="AH106" i="1"/>
  <c r="AG106" i="1"/>
  <c r="AF106" i="1"/>
  <c r="AE106" i="1"/>
  <c r="AD106" i="1"/>
  <c r="AC106" i="1"/>
  <c r="AB106" i="1"/>
  <c r="AW232" i="1"/>
  <c r="BA587" i="1" s="1"/>
  <c r="AV232" i="1"/>
  <c r="BA584" i="1" s="1"/>
  <c r="AK105" i="1"/>
  <c r="AS173" i="1" s="1"/>
  <c r="AJ105" i="1"/>
  <c r="AI105" i="1"/>
  <c r="AH105" i="1"/>
  <c r="J102" i="1" s="1"/>
  <c r="AG105" i="1"/>
  <c r="AF105" i="1"/>
  <c r="AE105" i="1"/>
  <c r="G102" i="1" s="1"/>
  <c r="AD105" i="1"/>
  <c r="AC105" i="1"/>
  <c r="AB105" i="1"/>
  <c r="BA231" i="1"/>
  <c r="AW231" i="1"/>
  <c r="BA582" i="1" s="1"/>
  <c r="AV231" i="1"/>
  <c r="BA579" i="1" s="1"/>
  <c r="AK104" i="1"/>
  <c r="AJ104" i="1"/>
  <c r="AI104" i="1"/>
  <c r="AH104" i="1"/>
  <c r="J101" i="1" s="1"/>
  <c r="AG104" i="1"/>
  <c r="AF104" i="1"/>
  <c r="AE104" i="1"/>
  <c r="G101" i="1" s="1"/>
  <c r="AD104" i="1"/>
  <c r="AC104" i="1"/>
  <c r="AB104" i="1"/>
  <c r="BA230" i="1"/>
  <c r="AW230" i="1"/>
  <c r="BA577" i="1" s="1"/>
  <c r="AV230" i="1"/>
  <c r="BA574" i="1" s="1"/>
  <c r="AK103" i="1"/>
  <c r="AJ103" i="1"/>
  <c r="AI103" i="1"/>
  <c r="K100" i="1" s="1"/>
  <c r="AH103" i="1"/>
  <c r="AG103" i="1"/>
  <c r="I100" i="1" s="1"/>
  <c r="AF103" i="1"/>
  <c r="AE103" i="1"/>
  <c r="AD103" i="1"/>
  <c r="AC103" i="1"/>
  <c r="AB103" i="1"/>
  <c r="AW229" i="1"/>
  <c r="BA572" i="1" s="1"/>
  <c r="AV229" i="1"/>
  <c r="BA569" i="1" s="1"/>
  <c r="AK102" i="1"/>
  <c r="AJ102" i="1"/>
  <c r="AI102" i="1"/>
  <c r="AH102" i="1"/>
  <c r="AG102" i="1"/>
  <c r="I99" i="1" s="1"/>
  <c r="AF102" i="1"/>
  <c r="AE102" i="1"/>
  <c r="G99" i="1" s="1"/>
  <c r="AD102" i="1"/>
  <c r="AC102" i="1"/>
  <c r="AB102" i="1"/>
  <c r="AW228" i="1"/>
  <c r="BA567" i="1" s="1"/>
  <c r="AV228" i="1"/>
  <c r="BA564" i="1" s="1"/>
  <c r="AK101" i="1"/>
  <c r="AJ101" i="1"/>
  <c r="L98" i="1" s="1"/>
  <c r="AI101" i="1"/>
  <c r="AH101" i="1"/>
  <c r="AG101" i="1"/>
  <c r="AF101" i="1"/>
  <c r="AE101" i="1"/>
  <c r="AD101" i="1"/>
  <c r="AC101" i="1"/>
  <c r="D98" i="1" s="1"/>
  <c r="AB101" i="1"/>
  <c r="AW227" i="1"/>
  <c r="BA562" i="1" s="1"/>
  <c r="AV227" i="1"/>
  <c r="BA559" i="1" s="1"/>
  <c r="AK100" i="1"/>
  <c r="AJ100" i="1"/>
  <c r="AI100" i="1"/>
  <c r="K97" i="1" s="1"/>
  <c r="AH100" i="1"/>
  <c r="AG100" i="1"/>
  <c r="AF100" i="1"/>
  <c r="H97" i="1" s="1"/>
  <c r="AE100" i="1"/>
  <c r="AD100" i="1"/>
  <c r="E97" i="1" s="1"/>
  <c r="AC100" i="1"/>
  <c r="D97" i="1" s="1"/>
  <c r="AB100" i="1"/>
  <c r="BA226" i="1"/>
  <c r="AW226" i="1"/>
  <c r="BA557" i="1" s="1"/>
  <c r="AV226" i="1"/>
  <c r="BA554" i="1" s="1"/>
  <c r="AK99" i="1"/>
  <c r="AJ99" i="1"/>
  <c r="AI99" i="1"/>
  <c r="AH99" i="1"/>
  <c r="AG99" i="1"/>
  <c r="AF99" i="1"/>
  <c r="H96" i="1" s="1"/>
  <c r="AE99" i="1"/>
  <c r="AD99" i="1"/>
  <c r="AC99" i="1"/>
  <c r="D96" i="1" s="1"/>
  <c r="AB99" i="1"/>
  <c r="BA225" i="1"/>
  <c r="AW225" i="1"/>
  <c r="BA552" i="1" s="1"/>
  <c r="AV225" i="1"/>
  <c r="BA549" i="1" s="1"/>
  <c r="AK98" i="1"/>
  <c r="AJ98" i="1"/>
  <c r="AI98" i="1"/>
  <c r="K95" i="1" s="1"/>
  <c r="AH98" i="1"/>
  <c r="AG98" i="1"/>
  <c r="I95" i="1" s="1"/>
  <c r="AF98" i="1"/>
  <c r="H95" i="1" s="1"/>
  <c r="AE98" i="1"/>
  <c r="G95" i="1" s="1"/>
  <c r="AD98" i="1"/>
  <c r="AC98" i="1"/>
  <c r="D95" i="1" s="1"/>
  <c r="AB98" i="1"/>
  <c r="AW224" i="1"/>
  <c r="BA547" i="1" s="1"/>
  <c r="AV224" i="1"/>
  <c r="BA544" i="1" s="1"/>
  <c r="AK97" i="1"/>
  <c r="AJ97" i="1"/>
  <c r="AI97" i="1"/>
  <c r="AH97" i="1"/>
  <c r="AG97" i="1"/>
  <c r="AF97" i="1"/>
  <c r="H94" i="1" s="1"/>
  <c r="AE97" i="1"/>
  <c r="AD97" i="1"/>
  <c r="E94" i="1" s="1"/>
  <c r="AC97" i="1"/>
  <c r="AB97" i="1"/>
  <c r="AW223" i="1"/>
  <c r="BA542" i="1" s="1"/>
  <c r="AV223" i="1"/>
  <c r="BA539" i="1" s="1"/>
  <c r="AK96" i="1"/>
  <c r="AJ96" i="1"/>
  <c r="AI96" i="1"/>
  <c r="AH96" i="1"/>
  <c r="J93" i="1" s="1"/>
  <c r="AG96" i="1"/>
  <c r="I93" i="1" s="1"/>
  <c r="AF96" i="1"/>
  <c r="H93" i="1" s="1"/>
  <c r="AE96" i="1"/>
  <c r="AD96" i="1"/>
  <c r="AC96" i="1"/>
  <c r="AB96" i="1"/>
  <c r="AW222" i="1"/>
  <c r="BA537" i="1" s="1"/>
  <c r="AV222" i="1"/>
  <c r="BA534" i="1" s="1"/>
  <c r="AK95" i="1"/>
  <c r="AJ95" i="1"/>
  <c r="AI95" i="1"/>
  <c r="AH95" i="1"/>
  <c r="AG95" i="1"/>
  <c r="AF95" i="1"/>
  <c r="AE95" i="1"/>
  <c r="G92" i="1" s="1"/>
  <c r="AD95" i="1"/>
  <c r="AC95" i="1"/>
  <c r="AB95" i="1"/>
  <c r="BA221" i="1"/>
  <c r="AW221" i="1"/>
  <c r="BA532" i="1" s="1"/>
  <c r="AV221" i="1"/>
  <c r="BA529" i="1" s="1"/>
  <c r="AK94" i="1"/>
  <c r="AS206" i="1" s="1"/>
  <c r="AJ94" i="1"/>
  <c r="L91" i="1" s="1"/>
  <c r="AI94" i="1"/>
  <c r="K91" i="1" s="1"/>
  <c r="AH94" i="1"/>
  <c r="J91" i="1" s="1"/>
  <c r="AG94" i="1"/>
  <c r="AF94" i="1"/>
  <c r="AE94" i="1"/>
  <c r="AD94" i="1"/>
  <c r="AC94" i="1"/>
  <c r="AB94" i="1"/>
  <c r="C91" i="1" s="1"/>
  <c r="BA220" i="1"/>
  <c r="AW220" i="1"/>
  <c r="BA527" i="1" s="1"/>
  <c r="AV220" i="1"/>
  <c r="BA524" i="1" s="1"/>
  <c r="AK93" i="1"/>
  <c r="AT167" i="1" s="1"/>
  <c r="AJ93" i="1"/>
  <c r="AI93" i="1"/>
  <c r="AH93" i="1"/>
  <c r="AG93" i="1"/>
  <c r="AF93" i="1"/>
  <c r="AE93" i="1"/>
  <c r="AD93" i="1"/>
  <c r="AC93" i="1"/>
  <c r="AB93" i="1"/>
  <c r="C90" i="1" s="1"/>
  <c r="AW219" i="1"/>
  <c r="BA522" i="1" s="1"/>
  <c r="AV219" i="1"/>
  <c r="BA519" i="1" s="1"/>
  <c r="AK92" i="1"/>
  <c r="AS167" i="1" s="1"/>
  <c r="AJ92" i="1"/>
  <c r="L89" i="1" s="1"/>
  <c r="AI92" i="1"/>
  <c r="AH92" i="1"/>
  <c r="AG92" i="1"/>
  <c r="AF92" i="1"/>
  <c r="AE92" i="1"/>
  <c r="AD92" i="1"/>
  <c r="AC92" i="1"/>
  <c r="AB92" i="1"/>
  <c r="C89" i="1" s="1"/>
  <c r="AW218" i="1"/>
  <c r="BA517" i="1" s="1"/>
  <c r="AV218" i="1"/>
  <c r="BA514" i="1" s="1"/>
  <c r="AK91" i="1"/>
  <c r="AJ91" i="1"/>
  <c r="L88" i="1" s="1"/>
  <c r="AI91" i="1"/>
  <c r="AH91" i="1"/>
  <c r="AG91" i="1"/>
  <c r="I88" i="1" s="1"/>
  <c r="AF91" i="1"/>
  <c r="AE91" i="1"/>
  <c r="AD91" i="1"/>
  <c r="AC91" i="1"/>
  <c r="AB91" i="1"/>
  <c r="AW217" i="1"/>
  <c r="BA512" i="1" s="1"/>
  <c r="AV217" i="1"/>
  <c r="BA509" i="1" s="1"/>
  <c r="AK90" i="1"/>
  <c r="AS159" i="1" s="1"/>
  <c r="AJ90" i="1"/>
  <c r="L87" i="1" s="1"/>
  <c r="AI90" i="1"/>
  <c r="AH90" i="1"/>
  <c r="AG90" i="1"/>
  <c r="AF90" i="1"/>
  <c r="H87" i="1" s="1"/>
  <c r="AE90" i="1"/>
  <c r="AD90" i="1"/>
  <c r="AC90" i="1"/>
  <c r="D87" i="1" s="1"/>
  <c r="AB90" i="1"/>
  <c r="BA216" i="1"/>
  <c r="AW216" i="1"/>
  <c r="BA507" i="1" s="1"/>
  <c r="AV216" i="1"/>
  <c r="BA504" i="1" s="1"/>
  <c r="AK89" i="1"/>
  <c r="AS182" i="1" s="1"/>
  <c r="AJ89" i="1"/>
  <c r="AI89" i="1"/>
  <c r="AH89" i="1"/>
  <c r="AG89" i="1"/>
  <c r="I86" i="1" s="1"/>
  <c r="AF89" i="1"/>
  <c r="AE89" i="1"/>
  <c r="AD89" i="1"/>
  <c r="AC89" i="1"/>
  <c r="D86" i="1" s="1"/>
  <c r="AB89" i="1"/>
  <c r="BA215" i="1"/>
  <c r="AW215" i="1"/>
  <c r="BA502" i="1" s="1"/>
  <c r="AV215" i="1"/>
  <c r="BA499" i="1" s="1"/>
  <c r="AK88" i="1"/>
  <c r="AS197" i="1" s="1"/>
  <c r="AJ88" i="1"/>
  <c r="AI88" i="1"/>
  <c r="AH88" i="1"/>
  <c r="AG88" i="1"/>
  <c r="AF88" i="1"/>
  <c r="AE88" i="1"/>
  <c r="AD88" i="1"/>
  <c r="E85" i="1" s="1"/>
  <c r="AC88" i="1"/>
  <c r="AB88" i="1"/>
  <c r="AW214" i="1"/>
  <c r="BA497" i="1" s="1"/>
  <c r="AV214" i="1"/>
  <c r="BA494" i="1" s="1"/>
  <c r="AS214" i="1"/>
  <c r="AK87" i="1"/>
  <c r="AJ87" i="1"/>
  <c r="L84" i="1" s="1"/>
  <c r="AI87" i="1"/>
  <c r="AH87" i="1"/>
  <c r="AG87" i="1"/>
  <c r="AF87" i="1"/>
  <c r="AE87" i="1"/>
  <c r="AD87" i="1"/>
  <c r="AC87" i="1"/>
  <c r="AB87" i="1"/>
  <c r="AW213" i="1"/>
  <c r="BA492" i="1" s="1"/>
  <c r="AV213" i="1"/>
  <c r="BA489" i="1" s="1"/>
  <c r="AK86" i="1"/>
  <c r="AS176" i="1" s="1"/>
  <c r="AJ86" i="1"/>
  <c r="AI86" i="1"/>
  <c r="K83" i="1" s="1"/>
  <c r="AH86" i="1"/>
  <c r="AG86" i="1"/>
  <c r="AF86" i="1"/>
  <c r="H83" i="1" s="1"/>
  <c r="AE86" i="1"/>
  <c r="AD86" i="1"/>
  <c r="AC86" i="1"/>
  <c r="AB86" i="1"/>
  <c r="AW212" i="1"/>
  <c r="BA487" i="1" s="1"/>
  <c r="AV212" i="1"/>
  <c r="BA484" i="1" s="1"/>
  <c r="AS212" i="1"/>
  <c r="AK85" i="1"/>
  <c r="AJ85" i="1"/>
  <c r="L82" i="1" s="1"/>
  <c r="AI85" i="1"/>
  <c r="AH85" i="1"/>
  <c r="AG85" i="1"/>
  <c r="AF85" i="1"/>
  <c r="H82" i="1" s="1"/>
  <c r="AE85" i="1"/>
  <c r="AD85" i="1"/>
  <c r="AC85" i="1"/>
  <c r="D82" i="1" s="1"/>
  <c r="AB85" i="1"/>
  <c r="BA211" i="1"/>
  <c r="AW211" i="1"/>
  <c r="BA482" i="1" s="1"/>
  <c r="AV211" i="1"/>
  <c r="BA479" i="1" s="1"/>
  <c r="AK84" i="1"/>
  <c r="AJ84" i="1"/>
  <c r="AI84" i="1"/>
  <c r="AH84" i="1"/>
  <c r="AG84" i="1"/>
  <c r="AF84" i="1"/>
  <c r="AE84" i="1"/>
  <c r="AD84" i="1"/>
  <c r="AC84" i="1"/>
  <c r="D81" i="1" s="1"/>
  <c r="AB84" i="1"/>
  <c r="BA210" i="1"/>
  <c r="AW210" i="1"/>
  <c r="BA477" i="1" s="1"/>
  <c r="AV210" i="1"/>
  <c r="BA474" i="1" s="1"/>
  <c r="AK83" i="1"/>
  <c r="AJ83" i="1"/>
  <c r="AI83" i="1"/>
  <c r="AH83" i="1"/>
  <c r="AG83" i="1"/>
  <c r="AF83" i="1"/>
  <c r="AE83" i="1"/>
  <c r="AD83" i="1"/>
  <c r="E80" i="1" s="1"/>
  <c r="AC83" i="1"/>
  <c r="AB83" i="1"/>
  <c r="AW209" i="1"/>
  <c r="BA472" i="1" s="1"/>
  <c r="AV209" i="1"/>
  <c r="BA469" i="1" s="1"/>
  <c r="AK82" i="1"/>
  <c r="AJ82" i="1"/>
  <c r="AI82" i="1"/>
  <c r="K79" i="1" s="1"/>
  <c r="AH82" i="1"/>
  <c r="AG82" i="1"/>
  <c r="AF82" i="1"/>
  <c r="AE82" i="1"/>
  <c r="AD82" i="1"/>
  <c r="AC82" i="1"/>
  <c r="D79" i="1" s="1"/>
  <c r="AB82" i="1"/>
  <c r="AW208" i="1"/>
  <c r="BA467" i="1" s="1"/>
  <c r="AV208" i="1"/>
  <c r="BA464" i="1" s="1"/>
  <c r="AK81" i="1"/>
  <c r="AJ81" i="1"/>
  <c r="AI81" i="1"/>
  <c r="AH81" i="1"/>
  <c r="AG81" i="1"/>
  <c r="AF81" i="1"/>
  <c r="AE81" i="1"/>
  <c r="G78" i="1" s="1"/>
  <c r="AD81" i="1"/>
  <c r="AC81" i="1"/>
  <c r="AB81" i="1"/>
  <c r="BA207" i="1"/>
  <c r="AW207" i="1"/>
  <c r="BA462" i="1" s="1"/>
  <c r="AV207" i="1"/>
  <c r="BA459" i="1" s="1"/>
  <c r="AK80" i="1"/>
  <c r="AJ80" i="1"/>
  <c r="AI80" i="1"/>
  <c r="AH80" i="1"/>
  <c r="AG80" i="1"/>
  <c r="AF80" i="1"/>
  <c r="AE80" i="1"/>
  <c r="G77" i="1" s="1"/>
  <c r="AD80" i="1"/>
  <c r="AC80" i="1"/>
  <c r="AB80" i="1"/>
  <c r="C77" i="1" s="1"/>
  <c r="BA206" i="1"/>
  <c r="AW206" i="1"/>
  <c r="BA457" i="1" s="1"/>
  <c r="AV206" i="1"/>
  <c r="BA454" i="1" s="1"/>
  <c r="AK79" i="1"/>
  <c r="AJ79" i="1"/>
  <c r="AI79" i="1"/>
  <c r="AH79" i="1"/>
  <c r="AG79" i="1"/>
  <c r="AF79" i="1"/>
  <c r="H76" i="1" s="1"/>
  <c r="AE79" i="1"/>
  <c r="AD79" i="1"/>
  <c r="AC79" i="1"/>
  <c r="AB79" i="1"/>
  <c r="C76" i="1" s="1"/>
  <c r="BA205" i="1"/>
  <c r="AW205" i="1"/>
  <c r="BA452" i="1" s="1"/>
  <c r="AV205" i="1"/>
  <c r="BA449" i="1" s="1"/>
  <c r="AS205" i="1"/>
  <c r="AK78" i="1"/>
  <c r="AS181" i="1" s="1"/>
  <c r="AJ78" i="1"/>
  <c r="AI78" i="1"/>
  <c r="AH78" i="1"/>
  <c r="AG78" i="1"/>
  <c r="AF78" i="1"/>
  <c r="AE78" i="1"/>
  <c r="AD78" i="1"/>
  <c r="E75" i="1" s="1"/>
  <c r="AC78" i="1"/>
  <c r="AB78" i="1"/>
  <c r="BA204" i="1"/>
  <c r="AW204" i="1"/>
  <c r="BA447" i="1" s="1"/>
  <c r="AV204" i="1"/>
  <c r="BA444" i="1" s="1"/>
  <c r="AK77" i="1"/>
  <c r="AT187" i="1" s="1"/>
  <c r="AJ77" i="1"/>
  <c r="AI77" i="1"/>
  <c r="AH77" i="1"/>
  <c r="AG77" i="1"/>
  <c r="AF77" i="1"/>
  <c r="AE77" i="1"/>
  <c r="AD77" i="1"/>
  <c r="AC77" i="1"/>
  <c r="D74" i="1" s="1"/>
  <c r="AB77" i="1"/>
  <c r="AW203" i="1"/>
  <c r="BA442" i="1" s="1"/>
  <c r="AV203" i="1"/>
  <c r="BA439" i="1" s="1"/>
  <c r="AS203" i="1"/>
  <c r="AK76" i="1"/>
  <c r="AJ76" i="1"/>
  <c r="AI76" i="1"/>
  <c r="K73" i="1" s="1"/>
  <c r="AH76" i="1"/>
  <c r="AG76" i="1"/>
  <c r="AF76" i="1"/>
  <c r="AE76" i="1"/>
  <c r="AD76" i="1"/>
  <c r="AC76" i="1"/>
  <c r="AB76" i="1"/>
  <c r="C73" i="1" s="1"/>
  <c r="AW202" i="1"/>
  <c r="BA437" i="1" s="1"/>
  <c r="AV202" i="1"/>
  <c r="BA434" i="1" s="1"/>
  <c r="AK75" i="1"/>
  <c r="AS204" i="1" s="1"/>
  <c r="BB445" i="1" s="1"/>
  <c r="AJ75" i="1"/>
  <c r="AI75" i="1"/>
  <c r="AH75" i="1"/>
  <c r="J72" i="1" s="1"/>
  <c r="AG75" i="1"/>
  <c r="AF75" i="1"/>
  <c r="AE75" i="1"/>
  <c r="G72" i="1" s="1"/>
  <c r="AD75" i="1"/>
  <c r="AC75" i="1"/>
  <c r="AB75" i="1"/>
  <c r="BA201" i="1"/>
  <c r="AW201" i="1"/>
  <c r="BA432" i="1" s="1"/>
  <c r="AV201" i="1"/>
  <c r="BA429" i="1" s="1"/>
  <c r="AK74" i="1"/>
  <c r="AS224" i="1" s="1"/>
  <c r="BB545" i="1" s="1"/>
  <c r="AJ74" i="1"/>
  <c r="AI74" i="1"/>
  <c r="AH74" i="1"/>
  <c r="AG74" i="1"/>
  <c r="I71" i="1" s="1"/>
  <c r="AF74" i="1"/>
  <c r="H71" i="1" s="1"/>
  <c r="AE74" i="1"/>
  <c r="AD74" i="1"/>
  <c r="AC74" i="1"/>
  <c r="D71" i="1" s="1"/>
  <c r="AB74" i="1"/>
  <c r="BA200" i="1"/>
  <c r="AW200" i="1"/>
  <c r="BA427" i="1" s="1"/>
  <c r="AV200" i="1"/>
  <c r="BA424" i="1" s="1"/>
  <c r="AK73" i="1"/>
  <c r="AT184" i="1" s="1"/>
  <c r="AJ73" i="1"/>
  <c r="AI73" i="1"/>
  <c r="AH73" i="1"/>
  <c r="AG73" i="1"/>
  <c r="I70" i="1" s="1"/>
  <c r="AF73" i="1"/>
  <c r="AE73" i="1"/>
  <c r="AD73" i="1"/>
  <c r="E70" i="1" s="1"/>
  <c r="AC73" i="1"/>
  <c r="D70" i="1" s="1"/>
  <c r="AB73" i="1"/>
  <c r="AW199" i="1"/>
  <c r="BA422" i="1" s="1"/>
  <c r="AV199" i="1"/>
  <c r="BA419" i="1" s="1"/>
  <c r="AK72" i="1"/>
  <c r="AS184" i="1" s="1"/>
  <c r="AJ72" i="1"/>
  <c r="AI72" i="1"/>
  <c r="AH72" i="1"/>
  <c r="AG72" i="1"/>
  <c r="AF72" i="1"/>
  <c r="AE72" i="1"/>
  <c r="AD72" i="1"/>
  <c r="AC72" i="1"/>
  <c r="D69" i="1" s="1"/>
  <c r="AB72" i="1"/>
  <c r="AW198" i="1"/>
  <c r="BA417" i="1" s="1"/>
  <c r="AV198" i="1"/>
  <c r="BA414" i="1" s="1"/>
  <c r="AK71" i="1"/>
  <c r="AS195" i="1" s="1"/>
  <c r="AJ71" i="1"/>
  <c r="AI71" i="1"/>
  <c r="K68" i="1" s="1"/>
  <c r="AH71" i="1"/>
  <c r="J68" i="1" s="1"/>
  <c r="AG71" i="1"/>
  <c r="AF71" i="1"/>
  <c r="AE71" i="1"/>
  <c r="AD71" i="1"/>
  <c r="AC71" i="1"/>
  <c r="AB71" i="1"/>
  <c r="AW197" i="1"/>
  <c r="BA412" i="1" s="1"/>
  <c r="AV197" i="1"/>
  <c r="BA409" i="1" s="1"/>
  <c r="AK70" i="1"/>
  <c r="AT194" i="1" s="1"/>
  <c r="AJ70" i="1"/>
  <c r="AI70" i="1"/>
  <c r="AH70" i="1"/>
  <c r="J67" i="1" s="1"/>
  <c r="AG70" i="1"/>
  <c r="AF70" i="1"/>
  <c r="AE70" i="1"/>
  <c r="AD70" i="1"/>
  <c r="E67" i="1" s="1"/>
  <c r="AC70" i="1"/>
  <c r="AB70" i="1"/>
  <c r="BA196" i="1"/>
  <c r="AW196" i="1"/>
  <c r="BA407" i="1" s="1"/>
  <c r="AV196" i="1"/>
  <c r="BA404" i="1" s="1"/>
  <c r="AK69" i="1"/>
  <c r="AS194" i="1" s="1"/>
  <c r="AJ69" i="1"/>
  <c r="AI69" i="1"/>
  <c r="AH69" i="1"/>
  <c r="AG69" i="1"/>
  <c r="AF69" i="1"/>
  <c r="H66" i="1" s="1"/>
  <c r="AE69" i="1"/>
  <c r="G66" i="1" s="1"/>
  <c r="AD69" i="1"/>
  <c r="AC69" i="1"/>
  <c r="AB69" i="1"/>
  <c r="C66" i="1" s="1"/>
  <c r="BA195" i="1"/>
  <c r="AW195" i="1"/>
  <c r="BA402" i="1" s="1"/>
  <c r="AV195" i="1"/>
  <c r="BA399" i="1" s="1"/>
  <c r="AK68" i="1"/>
  <c r="AT211" i="1" s="1"/>
  <c r="AJ68" i="1"/>
  <c r="AI68" i="1"/>
  <c r="AH68" i="1"/>
  <c r="AG68" i="1"/>
  <c r="I65" i="1" s="1"/>
  <c r="AF68" i="1"/>
  <c r="AE68" i="1"/>
  <c r="AD68" i="1"/>
  <c r="AC68" i="1"/>
  <c r="D65" i="1" s="1"/>
  <c r="AB68" i="1"/>
  <c r="AW194" i="1"/>
  <c r="BA397" i="1" s="1"/>
  <c r="AV194" i="1"/>
  <c r="BA394" i="1" s="1"/>
  <c r="AK67" i="1"/>
  <c r="AS211" i="1" s="1"/>
  <c r="AJ67" i="1"/>
  <c r="AI67" i="1"/>
  <c r="AH67" i="1"/>
  <c r="AG67" i="1"/>
  <c r="AF67" i="1"/>
  <c r="AE67" i="1"/>
  <c r="AD67" i="1"/>
  <c r="AC67" i="1"/>
  <c r="D64" i="1" s="1"/>
  <c r="AB67" i="1"/>
  <c r="AW193" i="1"/>
  <c r="BA392" i="1" s="1"/>
  <c r="AV193" i="1"/>
  <c r="BA389" i="1" s="1"/>
  <c r="AK66" i="1"/>
  <c r="AS223" i="1" s="1"/>
  <c r="AJ66" i="1"/>
  <c r="AI66" i="1"/>
  <c r="AH66" i="1"/>
  <c r="J63" i="1" s="1"/>
  <c r="AG66" i="1"/>
  <c r="AF66" i="1"/>
  <c r="AE66" i="1"/>
  <c r="AD66" i="1"/>
  <c r="AC66" i="1"/>
  <c r="AB66" i="1"/>
  <c r="AW192" i="1"/>
  <c r="BA387" i="1" s="1"/>
  <c r="AV192" i="1"/>
  <c r="BA384" i="1" s="1"/>
  <c r="AT192" i="1"/>
  <c r="AS192" i="1"/>
  <c r="AK65" i="1"/>
  <c r="AT199" i="1" s="1"/>
  <c r="AJ65" i="1"/>
  <c r="AI65" i="1"/>
  <c r="K62" i="1" s="1"/>
  <c r="AH65" i="1"/>
  <c r="AG65" i="1"/>
  <c r="AF65" i="1"/>
  <c r="H62" i="1" s="1"/>
  <c r="AE65" i="1"/>
  <c r="AD65" i="1"/>
  <c r="AC65" i="1"/>
  <c r="AB65" i="1"/>
  <c r="BA191" i="1"/>
  <c r="AW191" i="1"/>
  <c r="BA382" i="1" s="1"/>
  <c r="AV191" i="1"/>
  <c r="BA379" i="1" s="1"/>
  <c r="AK64" i="1"/>
  <c r="AS199" i="1" s="1"/>
  <c r="AJ64" i="1"/>
  <c r="L61" i="1" s="1"/>
  <c r="AI64" i="1"/>
  <c r="AH64" i="1"/>
  <c r="AG64" i="1"/>
  <c r="AF64" i="1"/>
  <c r="H61" i="1" s="1"/>
  <c r="AE64" i="1"/>
  <c r="AD64" i="1"/>
  <c r="AC64" i="1"/>
  <c r="D61" i="1" s="1"/>
  <c r="AB64" i="1"/>
  <c r="BA190" i="1"/>
  <c r="AW190" i="1"/>
  <c r="BA377" i="1" s="1"/>
  <c r="AV190" i="1"/>
  <c r="BA374" i="1" s="1"/>
  <c r="AS190" i="1"/>
  <c r="AK63" i="1"/>
  <c r="AS210" i="1" s="1"/>
  <c r="AJ63" i="1"/>
  <c r="AI63" i="1"/>
  <c r="AH63" i="1"/>
  <c r="J60" i="1" s="1"/>
  <c r="AG63" i="1"/>
  <c r="AF63" i="1"/>
  <c r="AE63" i="1"/>
  <c r="AD63" i="1"/>
  <c r="E60" i="1" s="1"/>
  <c r="AC63" i="1"/>
  <c r="AB63" i="1"/>
  <c r="BA189" i="1"/>
  <c r="AW189" i="1"/>
  <c r="BA372" i="1" s="1"/>
  <c r="AV189" i="1"/>
  <c r="BA369" i="1" s="1"/>
  <c r="AS189" i="1"/>
  <c r="AK62" i="1"/>
  <c r="AT165" i="1" s="1"/>
  <c r="AJ62" i="1"/>
  <c r="AI62" i="1"/>
  <c r="AH62" i="1"/>
  <c r="AG62" i="1"/>
  <c r="AF62" i="1"/>
  <c r="H59" i="1" s="1"/>
  <c r="AE62" i="1"/>
  <c r="AD62" i="1"/>
  <c r="AC62" i="1"/>
  <c r="AB62" i="1"/>
  <c r="C59" i="1" s="1"/>
  <c r="AW188" i="1"/>
  <c r="BA367" i="1" s="1"/>
  <c r="AV188" i="1"/>
  <c r="BA364" i="1" s="1"/>
  <c r="AK61" i="1"/>
  <c r="AS165" i="1" s="1"/>
  <c r="AJ61" i="1"/>
  <c r="AI61" i="1"/>
  <c r="AH61" i="1"/>
  <c r="AG61" i="1"/>
  <c r="AF61" i="1"/>
  <c r="AE61" i="1"/>
  <c r="AD61" i="1"/>
  <c r="AC61" i="1"/>
  <c r="AB61" i="1"/>
  <c r="AW187" i="1"/>
  <c r="BA362" i="1" s="1"/>
  <c r="AV187" i="1"/>
  <c r="BA359" i="1" s="1"/>
  <c r="AS187" i="1"/>
  <c r="AK60" i="1"/>
  <c r="AS191" i="1" s="1"/>
  <c r="AJ60" i="1"/>
  <c r="L57" i="1" s="1"/>
  <c r="AI60" i="1"/>
  <c r="AH60" i="1"/>
  <c r="AG60" i="1"/>
  <c r="AF60" i="1"/>
  <c r="AE60" i="1"/>
  <c r="AD60" i="1"/>
  <c r="AC60" i="1"/>
  <c r="AB60" i="1"/>
  <c r="BA186" i="1"/>
  <c r="AW186" i="1"/>
  <c r="BA357" i="1" s="1"/>
  <c r="AV186" i="1"/>
  <c r="BA354" i="1" s="1"/>
  <c r="AK59" i="1"/>
  <c r="AT148" i="1" s="1"/>
  <c r="AJ59" i="1"/>
  <c r="AI59" i="1"/>
  <c r="AH59" i="1"/>
  <c r="J56" i="1" s="1"/>
  <c r="AG59" i="1"/>
  <c r="AF59" i="1"/>
  <c r="AE59" i="1"/>
  <c r="AD59" i="1"/>
  <c r="AC59" i="1"/>
  <c r="AB59" i="1"/>
  <c r="BA185" i="1"/>
  <c r="AW185" i="1"/>
  <c r="BA352" i="1" s="1"/>
  <c r="AV185" i="1"/>
  <c r="BA349" i="1" s="1"/>
  <c r="AK58" i="1"/>
  <c r="AJ58" i="1"/>
  <c r="AI58" i="1"/>
  <c r="K55" i="1" s="1"/>
  <c r="AH58" i="1"/>
  <c r="AG58" i="1"/>
  <c r="AF58" i="1"/>
  <c r="H55" i="1" s="1"/>
  <c r="AE58" i="1"/>
  <c r="AD58" i="1"/>
  <c r="AC58" i="1"/>
  <c r="AB58" i="1"/>
  <c r="AW184" i="1"/>
  <c r="BA347" i="1" s="1"/>
  <c r="AV184" i="1"/>
  <c r="BA344" i="1" s="1"/>
  <c r="AU184" i="1"/>
  <c r="AT195" i="1" s="1"/>
  <c r="AK57" i="1"/>
  <c r="AT172" i="1" s="1"/>
  <c r="BB287" i="1" s="1"/>
  <c r="AJ57" i="1"/>
  <c r="AI57" i="1"/>
  <c r="AH57" i="1"/>
  <c r="AG57" i="1"/>
  <c r="AF57" i="1"/>
  <c r="AE57" i="1"/>
  <c r="AD57" i="1"/>
  <c r="AC57" i="1"/>
  <c r="AB57" i="1"/>
  <c r="AW183" i="1"/>
  <c r="BA342" i="1" s="1"/>
  <c r="AV183" i="1"/>
  <c r="BA339" i="1" s="1"/>
  <c r="AK56" i="1"/>
  <c r="AJ56" i="1"/>
  <c r="AI56" i="1"/>
  <c r="AH56" i="1"/>
  <c r="AG56" i="1"/>
  <c r="I53" i="1" s="1"/>
  <c r="AF56" i="1"/>
  <c r="AE56" i="1"/>
  <c r="AD56" i="1"/>
  <c r="AC56" i="1"/>
  <c r="D53" i="1" s="1"/>
  <c r="AB56" i="1"/>
  <c r="AW182" i="1"/>
  <c r="BA337" i="1" s="1"/>
  <c r="AV182" i="1"/>
  <c r="BA334" i="1" s="1"/>
  <c r="AK55" i="1"/>
  <c r="AS201" i="1" s="1"/>
  <c r="AJ55" i="1"/>
  <c r="AI55" i="1"/>
  <c r="AH55" i="1"/>
  <c r="AG55" i="1"/>
  <c r="AF55" i="1"/>
  <c r="AE55" i="1"/>
  <c r="AD55" i="1"/>
  <c r="AC55" i="1"/>
  <c r="D52" i="1" s="1"/>
  <c r="AB55" i="1"/>
  <c r="BA181" i="1"/>
  <c r="AW181" i="1"/>
  <c r="BA332" i="1" s="1"/>
  <c r="AV181" i="1"/>
  <c r="BA329" i="1" s="1"/>
  <c r="AK54" i="1"/>
  <c r="AJ54" i="1"/>
  <c r="AI54" i="1"/>
  <c r="K51" i="1" s="1"/>
  <c r="AH54" i="1"/>
  <c r="AG54" i="1"/>
  <c r="AF54" i="1"/>
  <c r="AE54" i="1"/>
  <c r="AD54" i="1"/>
  <c r="AC54" i="1"/>
  <c r="AB54" i="1"/>
  <c r="C51" i="1" s="1"/>
  <c r="BA180" i="1"/>
  <c r="AW180" i="1"/>
  <c r="BA327" i="1" s="1"/>
  <c r="AV180" i="1"/>
  <c r="BA324" i="1" s="1"/>
  <c r="AK53" i="1"/>
  <c r="AJ53" i="1"/>
  <c r="AI53" i="1"/>
  <c r="AH53" i="1"/>
  <c r="AG53" i="1"/>
  <c r="AF53" i="1"/>
  <c r="AE53" i="1"/>
  <c r="G50" i="1" s="1"/>
  <c r="AD53" i="1"/>
  <c r="AC53" i="1"/>
  <c r="AB53" i="1"/>
  <c r="AW179" i="1"/>
  <c r="BA322" i="1" s="1"/>
  <c r="AV179" i="1"/>
  <c r="BA319" i="1" s="1"/>
  <c r="AK52" i="1"/>
  <c r="AT156" i="1" s="1"/>
  <c r="BB206" i="1" s="1"/>
  <c r="AJ52" i="1"/>
  <c r="AI52" i="1"/>
  <c r="AH52" i="1"/>
  <c r="AG52" i="1"/>
  <c r="I49" i="1" s="1"/>
  <c r="AF52" i="1"/>
  <c r="AE52" i="1"/>
  <c r="AD52" i="1"/>
  <c r="E49" i="1" s="1"/>
  <c r="AC52" i="1"/>
  <c r="D49" i="1" s="1"/>
  <c r="AB52" i="1"/>
  <c r="AW178" i="1"/>
  <c r="BA317" i="1" s="1"/>
  <c r="AV178" i="1"/>
  <c r="BA314" i="1" s="1"/>
  <c r="AK51" i="1"/>
  <c r="AJ51" i="1"/>
  <c r="AI51" i="1"/>
  <c r="AH51" i="1"/>
  <c r="AG51" i="1"/>
  <c r="I48" i="1" s="1"/>
  <c r="AF51" i="1"/>
  <c r="AE51" i="1"/>
  <c r="AD51" i="1"/>
  <c r="AC51" i="1"/>
  <c r="D48" i="1" s="1"/>
  <c r="AB51" i="1"/>
  <c r="AW177" i="1"/>
  <c r="BA312" i="1" s="1"/>
  <c r="AV177" i="1"/>
  <c r="BA309" i="1" s="1"/>
  <c r="AK50" i="1"/>
  <c r="AS157" i="1" s="1"/>
  <c r="BB209" i="1" s="1"/>
  <c r="AJ50" i="1"/>
  <c r="AI50" i="1"/>
  <c r="AH50" i="1"/>
  <c r="AG50" i="1"/>
  <c r="I47" i="1" s="1"/>
  <c r="AF50" i="1"/>
  <c r="H47" i="1" s="1"/>
  <c r="AE50" i="1"/>
  <c r="AD50" i="1"/>
  <c r="AC50" i="1"/>
  <c r="AB50" i="1"/>
  <c r="BA176" i="1"/>
  <c r="AW176" i="1"/>
  <c r="BA307" i="1" s="1"/>
  <c r="AV176" i="1"/>
  <c r="BA304" i="1" s="1"/>
  <c r="AT176" i="1"/>
  <c r="BB307" i="1" s="1"/>
  <c r="AK49" i="1"/>
  <c r="AJ49" i="1"/>
  <c r="L46" i="1" s="1"/>
  <c r="AI49" i="1"/>
  <c r="AH49" i="1"/>
  <c r="AG49" i="1"/>
  <c r="AF49" i="1"/>
  <c r="H46" i="1" s="1"/>
  <c r="AE49" i="1"/>
  <c r="AD49" i="1"/>
  <c r="AC49" i="1"/>
  <c r="AB49" i="1"/>
  <c r="BA175" i="1"/>
  <c r="AW175" i="1"/>
  <c r="BA302" i="1" s="1"/>
  <c r="AV175" i="1"/>
  <c r="BA299" i="1" s="1"/>
  <c r="AK48" i="1"/>
  <c r="AJ48" i="1"/>
  <c r="L45" i="1" s="1"/>
  <c r="AI48" i="1"/>
  <c r="K45" i="1" s="1"/>
  <c r="AH48" i="1"/>
  <c r="J45" i="1" s="1"/>
  <c r="AG48" i="1"/>
  <c r="I45" i="1" s="1"/>
  <c r="AF48" i="1"/>
  <c r="AE48" i="1"/>
  <c r="AD48" i="1"/>
  <c r="AC48" i="1"/>
  <c r="AB48" i="1"/>
  <c r="AW174" i="1"/>
  <c r="BA297" i="1" s="1"/>
  <c r="AV174" i="1"/>
  <c r="BA294" i="1" s="1"/>
  <c r="AS174" i="1"/>
  <c r="BB295" i="1" s="1"/>
  <c r="AK47" i="1"/>
  <c r="AS150" i="1" s="1"/>
  <c r="AJ47" i="1"/>
  <c r="L44" i="1" s="1"/>
  <c r="AI47" i="1"/>
  <c r="AH47" i="1"/>
  <c r="AG47" i="1"/>
  <c r="I44" i="1" s="1"/>
  <c r="AF47" i="1"/>
  <c r="H44" i="1" s="1"/>
  <c r="AE47" i="1"/>
  <c r="AD47" i="1"/>
  <c r="E44" i="1" s="1"/>
  <c r="AC47" i="1"/>
  <c r="AB47" i="1"/>
  <c r="AW173" i="1"/>
  <c r="BA292" i="1" s="1"/>
  <c r="AV173" i="1"/>
  <c r="BA289" i="1" s="1"/>
  <c r="AK46" i="1"/>
  <c r="AS151" i="1" s="1"/>
  <c r="AJ46" i="1"/>
  <c r="L43" i="1" s="1"/>
  <c r="AI46" i="1"/>
  <c r="K43" i="1" s="1"/>
  <c r="AH46" i="1"/>
  <c r="J43" i="1" s="1"/>
  <c r="AG46" i="1"/>
  <c r="AF46" i="1"/>
  <c r="AE46" i="1"/>
  <c r="G43" i="1" s="1"/>
  <c r="AD46" i="1"/>
  <c r="AC46" i="1"/>
  <c r="AB46" i="1"/>
  <c r="C43" i="1" s="1"/>
  <c r="AW172" i="1"/>
  <c r="BA287" i="1" s="1"/>
  <c r="AV172" i="1"/>
  <c r="BA284" i="1" s="1"/>
  <c r="AS172" i="1"/>
  <c r="BB285" i="1" s="1"/>
  <c r="AK45" i="1"/>
  <c r="AS179" i="1" s="1"/>
  <c r="AJ45" i="1"/>
  <c r="AI45" i="1"/>
  <c r="AH45" i="1"/>
  <c r="AG45" i="1"/>
  <c r="I42" i="1" s="1"/>
  <c r="AF45" i="1"/>
  <c r="H42" i="1" s="1"/>
  <c r="AE45" i="1"/>
  <c r="AD45" i="1"/>
  <c r="AC45" i="1"/>
  <c r="D42" i="1" s="1"/>
  <c r="AB45" i="1"/>
  <c r="BA171" i="1"/>
  <c r="AW171" i="1"/>
  <c r="BA282" i="1" s="1"/>
  <c r="AV171" i="1"/>
  <c r="BA279" i="1" s="1"/>
  <c r="AT171" i="1"/>
  <c r="BB282" i="1" s="1"/>
  <c r="AS171" i="1"/>
  <c r="AK44" i="1"/>
  <c r="AT164" i="1" s="1"/>
  <c r="AJ44" i="1"/>
  <c r="AI44" i="1"/>
  <c r="AH44" i="1"/>
  <c r="AG44" i="1"/>
  <c r="AF44" i="1"/>
  <c r="H41" i="1" s="1"/>
  <c r="AE44" i="1"/>
  <c r="G41" i="1" s="1"/>
  <c r="AD44" i="1"/>
  <c r="AC44" i="1"/>
  <c r="AB44" i="1"/>
  <c r="C41" i="1" s="1"/>
  <c r="BA170" i="1"/>
  <c r="AW170" i="1"/>
  <c r="BA277" i="1" s="1"/>
  <c r="AV170" i="1"/>
  <c r="BA274" i="1" s="1"/>
  <c r="AT170" i="1"/>
  <c r="AS170" i="1"/>
  <c r="AK43" i="1"/>
  <c r="AS164" i="1" s="1"/>
  <c r="BB244" i="1" s="1"/>
  <c r="AJ43" i="1"/>
  <c r="L40" i="1" s="1"/>
  <c r="AI43" i="1"/>
  <c r="AH43" i="1"/>
  <c r="AG43" i="1"/>
  <c r="AF43" i="1"/>
  <c r="AE43" i="1"/>
  <c r="G40" i="1" s="1"/>
  <c r="AD43" i="1"/>
  <c r="AC43" i="1"/>
  <c r="AB43" i="1"/>
  <c r="BA169" i="1"/>
  <c r="AW169" i="1"/>
  <c r="BA272" i="1" s="1"/>
  <c r="AV169" i="1"/>
  <c r="BA269" i="1" s="1"/>
  <c r="AT169" i="1"/>
  <c r="AS169" i="1"/>
  <c r="AK42" i="1"/>
  <c r="AS178" i="1" s="1"/>
  <c r="AJ42" i="1"/>
  <c r="AI42" i="1"/>
  <c r="AH42" i="1"/>
  <c r="AG42" i="1"/>
  <c r="AF42" i="1"/>
  <c r="AE42" i="1"/>
  <c r="AD42" i="1"/>
  <c r="E39" i="1" s="1"/>
  <c r="AC42" i="1"/>
  <c r="AB42" i="1"/>
  <c r="AW168" i="1"/>
  <c r="BA267" i="1" s="1"/>
  <c r="AV168" i="1"/>
  <c r="BA264" i="1" s="1"/>
  <c r="AT168" i="1"/>
  <c r="AS168" i="1"/>
  <c r="AK41" i="1"/>
  <c r="AS183" i="1" s="1"/>
  <c r="AJ41" i="1"/>
  <c r="AI41" i="1"/>
  <c r="K38" i="1" s="1"/>
  <c r="AH41" i="1"/>
  <c r="AG41" i="1"/>
  <c r="I38" i="1" s="1"/>
  <c r="AF41" i="1"/>
  <c r="AE41" i="1"/>
  <c r="AD41" i="1"/>
  <c r="AC41" i="1"/>
  <c r="AB41" i="1"/>
  <c r="C38" i="1" s="1"/>
  <c r="BG167" i="1"/>
  <c r="BA167" i="1"/>
  <c r="AW167" i="1"/>
  <c r="BA262" i="1" s="1"/>
  <c r="AV167" i="1"/>
  <c r="BA259" i="1" s="1"/>
  <c r="AK40" i="1"/>
  <c r="AT166" i="1" s="1"/>
  <c r="AJ40" i="1"/>
  <c r="AI40" i="1"/>
  <c r="AH40" i="1"/>
  <c r="AG40" i="1"/>
  <c r="AF40" i="1"/>
  <c r="AE40" i="1"/>
  <c r="AD40" i="1"/>
  <c r="AC40" i="1"/>
  <c r="AB40" i="1"/>
  <c r="C37" i="1" s="1"/>
  <c r="BG166" i="1"/>
  <c r="BA166" i="1"/>
  <c r="AW166" i="1"/>
  <c r="BA257" i="1" s="1"/>
  <c r="AV166" i="1"/>
  <c r="BA254" i="1" s="1"/>
  <c r="AS166" i="1"/>
  <c r="AK39" i="1"/>
  <c r="AJ39" i="1"/>
  <c r="AI39" i="1"/>
  <c r="AH39" i="1"/>
  <c r="AG39" i="1"/>
  <c r="AF39" i="1"/>
  <c r="AE39" i="1"/>
  <c r="AD39" i="1"/>
  <c r="E36" i="1" s="1"/>
  <c r="AC39" i="1"/>
  <c r="D36" i="1" s="1"/>
  <c r="AB39" i="1"/>
  <c r="BG165" i="1"/>
  <c r="BA165" i="1"/>
  <c r="AW165" i="1"/>
  <c r="BA252" i="1" s="1"/>
  <c r="AV165" i="1"/>
  <c r="BA249" i="1" s="1"/>
  <c r="AK38" i="1"/>
  <c r="AT200" i="1" s="1"/>
  <c r="AJ38" i="1"/>
  <c r="L35" i="1" s="1"/>
  <c r="AI38" i="1"/>
  <c r="AH38" i="1"/>
  <c r="AG38" i="1"/>
  <c r="AF38" i="1"/>
  <c r="AE38" i="1"/>
  <c r="AD38" i="1"/>
  <c r="E35" i="1" s="1"/>
  <c r="AC38" i="1"/>
  <c r="AB38" i="1"/>
  <c r="BG164" i="1"/>
  <c r="BA164" i="1"/>
  <c r="AW164" i="1"/>
  <c r="BA247" i="1" s="1"/>
  <c r="AV164" i="1"/>
  <c r="AK37" i="1"/>
  <c r="AS200" i="1" s="1"/>
  <c r="AJ37" i="1"/>
  <c r="AI37" i="1"/>
  <c r="AH37" i="1"/>
  <c r="J34" i="1" s="1"/>
  <c r="AG37" i="1"/>
  <c r="AF37" i="1"/>
  <c r="AE37" i="1"/>
  <c r="AD37" i="1"/>
  <c r="AC37" i="1"/>
  <c r="AB37" i="1"/>
  <c r="AW163" i="1"/>
  <c r="BA242" i="1" s="1"/>
  <c r="AV163" i="1"/>
  <c r="AK36" i="1"/>
  <c r="AS218" i="1" s="1"/>
  <c r="AJ36" i="1"/>
  <c r="AI36" i="1"/>
  <c r="AH36" i="1"/>
  <c r="AG36" i="1"/>
  <c r="I33" i="1" s="1"/>
  <c r="AF36" i="1"/>
  <c r="AE36" i="1"/>
  <c r="AD36" i="1"/>
  <c r="E33" i="1" s="1"/>
  <c r="AC36" i="1"/>
  <c r="AB36" i="1"/>
  <c r="BG162" i="1"/>
  <c r="AW162" i="1"/>
  <c r="AV162" i="1"/>
  <c r="AT162" i="1"/>
  <c r="BB236" i="1" s="1"/>
  <c r="AS162" i="1"/>
  <c r="AU162" i="1" s="1"/>
  <c r="AS198" i="1" s="1"/>
  <c r="AK35" i="1"/>
  <c r="AT202" i="1" s="1"/>
  <c r="AJ35" i="1"/>
  <c r="L32" i="1" s="1"/>
  <c r="AI35" i="1"/>
  <c r="AH35" i="1"/>
  <c r="AG35" i="1"/>
  <c r="AF35" i="1"/>
  <c r="H32" i="1" s="1"/>
  <c r="AE35" i="1"/>
  <c r="AD35" i="1"/>
  <c r="E32" i="1" s="1"/>
  <c r="AC35" i="1"/>
  <c r="D32" i="1" s="1"/>
  <c r="AB35" i="1"/>
  <c r="BG161" i="1"/>
  <c r="BA161" i="1"/>
  <c r="AW161" i="1"/>
  <c r="BA232" i="1" s="1"/>
  <c r="AV161" i="1"/>
  <c r="BA229" i="1" s="1"/>
  <c r="AT161" i="1"/>
  <c r="BB231" i="1" s="1"/>
  <c r="AS161" i="1"/>
  <c r="BB229" i="1" s="1"/>
  <c r="AK34" i="1"/>
  <c r="AS202" i="1" s="1"/>
  <c r="AJ34" i="1"/>
  <c r="AI34" i="1"/>
  <c r="AH34" i="1"/>
  <c r="AG34" i="1"/>
  <c r="AF34" i="1"/>
  <c r="H31" i="1" s="1"/>
  <c r="AE34" i="1"/>
  <c r="AD34" i="1"/>
  <c r="AC34" i="1"/>
  <c r="D31" i="1" s="1"/>
  <c r="AB34" i="1"/>
  <c r="BG160" i="1"/>
  <c r="BA160" i="1"/>
  <c r="AW160" i="1"/>
  <c r="BA227" i="1" s="1"/>
  <c r="AV160" i="1"/>
  <c r="BA224" i="1" s="1"/>
  <c r="AT160" i="1"/>
  <c r="AS160" i="1"/>
  <c r="AU160" i="1" s="1"/>
  <c r="AT181" i="1" s="1"/>
  <c r="AK33" i="1"/>
  <c r="AT196" i="1" s="1"/>
  <c r="AJ33" i="1"/>
  <c r="AI33" i="1"/>
  <c r="AH33" i="1"/>
  <c r="J30" i="1" s="1"/>
  <c r="AG33" i="1"/>
  <c r="AF33" i="1"/>
  <c r="AE33" i="1"/>
  <c r="G30" i="1" s="1"/>
  <c r="AD33" i="1"/>
  <c r="E30" i="1" s="1"/>
  <c r="AC33" i="1"/>
  <c r="AB33" i="1"/>
  <c r="BG159" i="1"/>
  <c r="BA159" i="1"/>
  <c r="AW159" i="1"/>
  <c r="BA222" i="1" s="1"/>
  <c r="AV159" i="1"/>
  <c r="BA219" i="1" s="1"/>
  <c r="AT159" i="1"/>
  <c r="AK32" i="1"/>
  <c r="AS196" i="1" s="1"/>
  <c r="AJ32" i="1"/>
  <c r="AI32" i="1"/>
  <c r="K29" i="1" s="1"/>
  <c r="AH32" i="1"/>
  <c r="AG32" i="1"/>
  <c r="AF32" i="1"/>
  <c r="H29" i="1" s="1"/>
  <c r="AE32" i="1"/>
  <c r="G29" i="1" s="1"/>
  <c r="AD32" i="1"/>
  <c r="AC32" i="1"/>
  <c r="AB32" i="1"/>
  <c r="AW158" i="1"/>
  <c r="BA217" i="1" s="1"/>
  <c r="AV158" i="1"/>
  <c r="BA214" i="1" s="1"/>
  <c r="AT158" i="1"/>
  <c r="AS158" i="1"/>
  <c r="AU158" i="1" s="1"/>
  <c r="AT186" i="1" s="1"/>
  <c r="AK31" i="1"/>
  <c r="AT152" i="1" s="1"/>
  <c r="BB187" i="1" s="1"/>
  <c r="AJ31" i="1"/>
  <c r="AI31" i="1"/>
  <c r="AH31" i="1"/>
  <c r="J28" i="1" s="1"/>
  <c r="AG31" i="1"/>
  <c r="AF31" i="1"/>
  <c r="AE31" i="1"/>
  <c r="G28" i="1" s="1"/>
  <c r="AD31" i="1"/>
  <c r="AC31" i="1"/>
  <c r="AB31" i="1"/>
  <c r="BG157" i="1"/>
  <c r="AW157" i="1"/>
  <c r="BA212" i="1" s="1"/>
  <c r="AV157" i="1"/>
  <c r="BA209" i="1" s="1"/>
  <c r="AK30" i="1"/>
  <c r="AS152" i="1" s="1"/>
  <c r="AJ30" i="1"/>
  <c r="AI30" i="1"/>
  <c r="AH30" i="1"/>
  <c r="AG30" i="1"/>
  <c r="I27" i="1" s="1"/>
  <c r="AF30" i="1"/>
  <c r="AE30" i="1"/>
  <c r="G27" i="1" s="1"/>
  <c r="AD30" i="1"/>
  <c r="E27" i="1" s="1"/>
  <c r="AC30" i="1"/>
  <c r="AB30" i="1"/>
  <c r="C27" i="1" s="1"/>
  <c r="BG156" i="1"/>
  <c r="BA156" i="1"/>
  <c r="AW156" i="1"/>
  <c r="AV156" i="1"/>
  <c r="AS156" i="1"/>
  <c r="BB205" i="1" s="1"/>
  <c r="AK29" i="1"/>
  <c r="AJ29" i="1"/>
  <c r="L26" i="1" s="1"/>
  <c r="AI29" i="1"/>
  <c r="AH29" i="1"/>
  <c r="J26" i="1" s="1"/>
  <c r="AG29" i="1"/>
  <c r="AF29" i="1"/>
  <c r="H26" i="1" s="1"/>
  <c r="AE29" i="1"/>
  <c r="G26" i="1" s="1"/>
  <c r="AD29" i="1"/>
  <c r="AC29" i="1"/>
  <c r="D26" i="1" s="1"/>
  <c r="AB29" i="1"/>
  <c r="BG155" i="1"/>
  <c r="BA155" i="1"/>
  <c r="AW155" i="1"/>
  <c r="BA202" i="1" s="1"/>
  <c r="AV155" i="1"/>
  <c r="BA199" i="1" s="1"/>
  <c r="AS155" i="1"/>
  <c r="AK28" i="1"/>
  <c r="AS146" i="1" s="1"/>
  <c r="AJ28" i="1"/>
  <c r="AI28" i="1"/>
  <c r="AH28" i="1"/>
  <c r="AG28" i="1"/>
  <c r="I25" i="1" s="1"/>
  <c r="AF28" i="1"/>
  <c r="AE28" i="1"/>
  <c r="AD28" i="1"/>
  <c r="E25" i="1" s="1"/>
  <c r="AC28" i="1"/>
  <c r="AB28" i="1"/>
  <c r="BG154" i="1"/>
  <c r="AW154" i="1"/>
  <c r="BA197" i="1" s="1"/>
  <c r="AV154" i="1"/>
  <c r="BA194" i="1" s="1"/>
  <c r="AK27" i="1"/>
  <c r="AS147" i="1" s="1"/>
  <c r="AJ27" i="1"/>
  <c r="AI27" i="1"/>
  <c r="K24" i="1" s="1"/>
  <c r="AH27" i="1"/>
  <c r="AG27" i="1"/>
  <c r="AF27" i="1"/>
  <c r="AE27" i="1"/>
  <c r="AD27" i="1"/>
  <c r="AC27" i="1"/>
  <c r="AB27" i="1"/>
  <c r="C24" i="1" s="1"/>
  <c r="AW153" i="1"/>
  <c r="BA192" i="1" s="1"/>
  <c r="AV153" i="1"/>
  <c r="AK26" i="1"/>
  <c r="AT153" i="1" s="1"/>
  <c r="AJ26" i="1"/>
  <c r="AI26" i="1"/>
  <c r="AH26" i="1"/>
  <c r="AG26" i="1"/>
  <c r="AF26" i="1"/>
  <c r="H23" i="1" s="1"/>
  <c r="AE26" i="1"/>
  <c r="AD26" i="1"/>
  <c r="AC26" i="1"/>
  <c r="AB26" i="1"/>
  <c r="C23" i="1" s="1"/>
  <c r="BG152" i="1"/>
  <c r="BF152" i="1"/>
  <c r="AW152" i="1"/>
  <c r="BA187" i="1" s="1"/>
  <c r="AV152" i="1"/>
  <c r="BA184" i="1" s="1"/>
  <c r="AK25" i="1"/>
  <c r="AS153" i="1" s="1"/>
  <c r="AJ25" i="1"/>
  <c r="AI25" i="1"/>
  <c r="AH25" i="1"/>
  <c r="AG25" i="1"/>
  <c r="AF25" i="1"/>
  <c r="H22" i="1" s="1"/>
  <c r="AE25" i="1"/>
  <c r="AD25" i="1"/>
  <c r="AC25" i="1"/>
  <c r="AB25" i="1"/>
  <c r="C22" i="1" s="1"/>
  <c r="BG151" i="1"/>
  <c r="BF151" i="1"/>
  <c r="BA151" i="1"/>
  <c r="AW151" i="1"/>
  <c r="BA182" i="1" s="1"/>
  <c r="AV151" i="1"/>
  <c r="BA179" i="1" s="1"/>
  <c r="AK24" i="1"/>
  <c r="AS154" i="1" s="1"/>
  <c r="AJ24" i="1"/>
  <c r="AI24" i="1"/>
  <c r="AH24" i="1"/>
  <c r="AG24" i="1"/>
  <c r="AF24" i="1"/>
  <c r="H21" i="1" s="1"/>
  <c r="AE24" i="1"/>
  <c r="AD24" i="1"/>
  <c r="AC24" i="1"/>
  <c r="AB24" i="1"/>
  <c r="C21" i="1" s="1"/>
  <c r="BG150" i="1"/>
  <c r="BF150" i="1"/>
  <c r="BA150" i="1"/>
  <c r="AW150" i="1"/>
  <c r="BA177" i="1" s="1"/>
  <c r="AV150" i="1"/>
  <c r="BA174" i="1" s="1"/>
  <c r="AK23" i="1"/>
  <c r="AJ23" i="1"/>
  <c r="AI23" i="1"/>
  <c r="K20" i="1" s="1"/>
  <c r="AH23" i="1"/>
  <c r="AG23" i="1"/>
  <c r="AF23" i="1"/>
  <c r="AE23" i="1"/>
  <c r="G20" i="1" s="1"/>
  <c r="AD23" i="1"/>
  <c r="AC23" i="1"/>
  <c r="AB23" i="1"/>
  <c r="BG149" i="1"/>
  <c r="BF149" i="1"/>
  <c r="AW149" i="1"/>
  <c r="BA172" i="1" s="1"/>
  <c r="AV149" i="1"/>
  <c r="AT149" i="1"/>
  <c r="AS149" i="1"/>
  <c r="AK22" i="1"/>
  <c r="AS180" i="1" s="1"/>
  <c r="AJ22" i="1"/>
  <c r="AI22" i="1"/>
  <c r="K19" i="1" s="1"/>
  <c r="AH22" i="1"/>
  <c r="J19" i="1" s="1"/>
  <c r="AG22" i="1"/>
  <c r="AF22" i="1"/>
  <c r="AE22" i="1"/>
  <c r="G19" i="1" s="1"/>
  <c r="AD22" i="1"/>
  <c r="AC22" i="1"/>
  <c r="AB22" i="1"/>
  <c r="C19" i="1" s="1"/>
  <c r="AW148" i="1"/>
  <c r="AV148" i="1"/>
  <c r="AS148" i="1"/>
  <c r="AK21" i="1"/>
  <c r="AT144" i="1" s="1"/>
  <c r="AJ21" i="1"/>
  <c r="AI21" i="1"/>
  <c r="AH21" i="1"/>
  <c r="AG21" i="1"/>
  <c r="AF21" i="1"/>
  <c r="H18" i="1" s="1"/>
  <c r="AE21" i="1"/>
  <c r="AD21" i="1"/>
  <c r="AC21" i="1"/>
  <c r="D18" i="1" s="1"/>
  <c r="AB21" i="1"/>
  <c r="BG147" i="1"/>
  <c r="AW147" i="1"/>
  <c r="BA162" i="1" s="1"/>
  <c r="AV147" i="1"/>
  <c r="AK20" i="1"/>
  <c r="AS144" i="1" s="1"/>
  <c r="BB145" i="1" s="1"/>
  <c r="AJ20" i="1"/>
  <c r="L17" i="1" s="1"/>
  <c r="AI20" i="1"/>
  <c r="AH20" i="1"/>
  <c r="J17" i="1" s="1"/>
  <c r="AG20" i="1"/>
  <c r="AF20" i="1"/>
  <c r="AE20" i="1"/>
  <c r="AD20" i="1"/>
  <c r="AC20" i="1"/>
  <c r="AB20" i="1"/>
  <c r="C17" i="1" s="1"/>
  <c r="BG146" i="1"/>
  <c r="BA146" i="1"/>
  <c r="AW146" i="1"/>
  <c r="BA157" i="1" s="1"/>
  <c r="AV146" i="1"/>
  <c r="BA154" i="1" s="1"/>
  <c r="AT146" i="1"/>
  <c r="BB156" i="1" s="1"/>
  <c r="AK19" i="1"/>
  <c r="AS145" i="1" s="1"/>
  <c r="AJ19" i="1"/>
  <c r="L16" i="1" s="1"/>
  <c r="AI19" i="1"/>
  <c r="AH19" i="1"/>
  <c r="AG19" i="1"/>
  <c r="AF19" i="1"/>
  <c r="AE19" i="1"/>
  <c r="AD19" i="1"/>
  <c r="AC19" i="1"/>
  <c r="AB19" i="1"/>
  <c r="C16" i="1" s="1"/>
  <c r="BG145" i="1"/>
  <c r="BF145" i="1"/>
  <c r="BA145" i="1"/>
  <c r="AW145" i="1"/>
  <c r="BA152" i="1" s="1"/>
  <c r="AV145" i="1"/>
  <c r="BA149" i="1" s="1"/>
  <c r="AK18" i="1"/>
  <c r="AS177" i="1" s="1"/>
  <c r="AJ18" i="1"/>
  <c r="AI18" i="1"/>
  <c r="AH18" i="1"/>
  <c r="AG18" i="1"/>
  <c r="AF18" i="1"/>
  <c r="AE18" i="1"/>
  <c r="AD18" i="1"/>
  <c r="AC18" i="1"/>
  <c r="D15" i="1" s="1"/>
  <c r="AB18" i="1"/>
  <c r="C15" i="1" s="1"/>
  <c r="BG144" i="1"/>
  <c r="BF144" i="1"/>
  <c r="BA144" i="1"/>
  <c r="AW144" i="1"/>
  <c r="BA147" i="1" s="1"/>
  <c r="AV144" i="1"/>
  <c r="AK17" i="1"/>
  <c r="AS188" i="1" s="1"/>
  <c r="AJ17" i="1"/>
  <c r="AI17" i="1"/>
  <c r="AH17" i="1"/>
  <c r="AG17" i="1"/>
  <c r="AF17" i="1"/>
  <c r="AE17" i="1"/>
  <c r="G14" i="1" s="1"/>
  <c r="AD17" i="1"/>
  <c r="E14" i="1" s="1"/>
  <c r="AC17" i="1"/>
  <c r="AB17" i="1"/>
  <c r="C14" i="1" s="1"/>
  <c r="K113" i="1"/>
  <c r="J113" i="1"/>
  <c r="I113" i="1"/>
  <c r="H113" i="1"/>
  <c r="G113" i="1"/>
  <c r="E113" i="1"/>
  <c r="D113" i="1"/>
  <c r="C113" i="1"/>
  <c r="L112" i="1"/>
  <c r="J112" i="1"/>
  <c r="I112" i="1"/>
  <c r="G112" i="1"/>
  <c r="E112" i="1"/>
  <c r="D112" i="1"/>
  <c r="C112" i="1"/>
  <c r="K111" i="1"/>
  <c r="J111" i="1"/>
  <c r="I111" i="1"/>
  <c r="H111" i="1"/>
  <c r="G111" i="1"/>
  <c r="E111" i="1"/>
  <c r="C111" i="1"/>
  <c r="L110" i="1"/>
  <c r="K110" i="1"/>
  <c r="J110" i="1"/>
  <c r="I110" i="1"/>
  <c r="H110" i="1"/>
  <c r="G110" i="1"/>
  <c r="E110" i="1"/>
  <c r="C110" i="1"/>
  <c r="L109" i="1"/>
  <c r="K109" i="1"/>
  <c r="J109" i="1"/>
  <c r="I109" i="1"/>
  <c r="H109" i="1"/>
  <c r="G109" i="1"/>
  <c r="D109" i="1"/>
  <c r="C109" i="1"/>
  <c r="L108" i="1"/>
  <c r="J108" i="1"/>
  <c r="I108" i="1"/>
  <c r="H108" i="1"/>
  <c r="G108" i="1"/>
  <c r="E108" i="1"/>
  <c r="D108" i="1"/>
  <c r="C108" i="1"/>
  <c r="L107" i="1"/>
  <c r="K107" i="1"/>
  <c r="J107" i="1"/>
  <c r="H107" i="1"/>
  <c r="G107" i="1"/>
  <c r="E107" i="1"/>
  <c r="D107" i="1"/>
  <c r="C107" i="1"/>
  <c r="L106" i="1"/>
  <c r="K106" i="1"/>
  <c r="I106" i="1"/>
  <c r="H106" i="1"/>
  <c r="E106" i="1"/>
  <c r="L105" i="1"/>
  <c r="K105" i="1"/>
  <c r="J105" i="1"/>
  <c r="I105" i="1"/>
  <c r="H105" i="1"/>
  <c r="E105" i="1"/>
  <c r="D105" i="1"/>
  <c r="L104" i="1"/>
  <c r="K104" i="1"/>
  <c r="J104" i="1"/>
  <c r="I104" i="1"/>
  <c r="H104" i="1"/>
  <c r="L103" i="1"/>
  <c r="K103" i="1"/>
  <c r="J103" i="1"/>
  <c r="I103" i="1"/>
  <c r="H103" i="1"/>
  <c r="G103" i="1"/>
  <c r="E103" i="1"/>
  <c r="D103" i="1"/>
  <c r="C103" i="1"/>
  <c r="L102" i="1"/>
  <c r="K102" i="1"/>
  <c r="I102" i="1"/>
  <c r="H102" i="1"/>
  <c r="E102" i="1"/>
  <c r="D102" i="1"/>
  <c r="C102" i="1"/>
  <c r="L101" i="1"/>
  <c r="K101" i="1"/>
  <c r="I101" i="1"/>
  <c r="H101" i="1"/>
  <c r="E101" i="1"/>
  <c r="D101" i="1"/>
  <c r="C101" i="1"/>
  <c r="L100" i="1"/>
  <c r="J100" i="1"/>
  <c r="H100" i="1"/>
  <c r="G100" i="1"/>
  <c r="E100" i="1"/>
  <c r="D100" i="1"/>
  <c r="C100" i="1"/>
  <c r="L99" i="1"/>
  <c r="K99" i="1"/>
  <c r="J99" i="1"/>
  <c r="H99" i="1"/>
  <c r="E99" i="1"/>
  <c r="D99" i="1"/>
  <c r="C99" i="1"/>
  <c r="K98" i="1"/>
  <c r="J98" i="1"/>
  <c r="I98" i="1"/>
  <c r="H98" i="1"/>
  <c r="G98" i="1"/>
  <c r="E98" i="1"/>
  <c r="C98" i="1"/>
  <c r="L97" i="1"/>
  <c r="J97" i="1"/>
  <c r="I97" i="1"/>
  <c r="G97" i="1"/>
  <c r="C97" i="1"/>
  <c r="L96" i="1"/>
  <c r="K96" i="1"/>
  <c r="J96" i="1"/>
  <c r="I96" i="1"/>
  <c r="G96" i="1"/>
  <c r="E96" i="1"/>
  <c r="C96" i="1"/>
  <c r="L95" i="1"/>
  <c r="J95" i="1"/>
  <c r="E95" i="1"/>
  <c r="C95" i="1"/>
  <c r="L94" i="1"/>
  <c r="K94" i="1"/>
  <c r="J94" i="1"/>
  <c r="I94" i="1"/>
  <c r="G94" i="1"/>
  <c r="D94" i="1"/>
  <c r="C94" i="1"/>
  <c r="L93" i="1"/>
  <c r="K93" i="1"/>
  <c r="G93" i="1"/>
  <c r="E93" i="1"/>
  <c r="D93" i="1"/>
  <c r="C93" i="1"/>
  <c r="L92" i="1"/>
  <c r="K92" i="1"/>
  <c r="J92" i="1"/>
  <c r="I92" i="1"/>
  <c r="H92" i="1"/>
  <c r="E92" i="1"/>
  <c r="D92" i="1"/>
  <c r="C92" i="1"/>
  <c r="I91" i="1"/>
  <c r="H91" i="1"/>
  <c r="G91" i="1"/>
  <c r="E91" i="1"/>
  <c r="D91" i="1"/>
  <c r="L90" i="1"/>
  <c r="K90" i="1"/>
  <c r="J90" i="1"/>
  <c r="I90" i="1"/>
  <c r="H90" i="1"/>
  <c r="G90" i="1"/>
  <c r="E90" i="1"/>
  <c r="D90" i="1"/>
  <c r="K89" i="1"/>
  <c r="J89" i="1"/>
  <c r="I89" i="1"/>
  <c r="H89" i="1"/>
  <c r="G89" i="1"/>
  <c r="E89" i="1"/>
  <c r="D89" i="1"/>
  <c r="K88" i="1"/>
  <c r="J88" i="1"/>
  <c r="H88" i="1"/>
  <c r="G88" i="1"/>
  <c r="E88" i="1"/>
  <c r="D88" i="1"/>
  <c r="C88" i="1"/>
  <c r="K87" i="1"/>
  <c r="J87" i="1"/>
  <c r="I87" i="1"/>
  <c r="G87" i="1"/>
  <c r="E87" i="1"/>
  <c r="C87" i="1"/>
  <c r="L86" i="1"/>
  <c r="K86" i="1"/>
  <c r="J86" i="1"/>
  <c r="H86" i="1"/>
  <c r="G86" i="1"/>
  <c r="E86" i="1"/>
  <c r="C86" i="1"/>
  <c r="L85" i="1"/>
  <c r="K85" i="1"/>
  <c r="J85" i="1"/>
  <c r="I85" i="1"/>
  <c r="H85" i="1"/>
  <c r="G85" i="1"/>
  <c r="D85" i="1"/>
  <c r="C85" i="1"/>
  <c r="K84" i="1"/>
  <c r="J84" i="1"/>
  <c r="I84" i="1"/>
  <c r="H84" i="1"/>
  <c r="G84" i="1"/>
  <c r="E84" i="1"/>
  <c r="D84" i="1"/>
  <c r="C84" i="1"/>
  <c r="L83" i="1"/>
  <c r="J83" i="1"/>
  <c r="I83" i="1"/>
  <c r="G83" i="1"/>
  <c r="E83" i="1"/>
  <c r="D83" i="1"/>
  <c r="C83" i="1"/>
  <c r="K82" i="1"/>
  <c r="J82" i="1"/>
  <c r="I82" i="1"/>
  <c r="G82" i="1"/>
  <c r="E82" i="1"/>
  <c r="C82" i="1"/>
  <c r="L81" i="1"/>
  <c r="K81" i="1"/>
  <c r="J81" i="1"/>
  <c r="I81" i="1"/>
  <c r="H81" i="1"/>
  <c r="G81" i="1"/>
  <c r="E81" i="1"/>
  <c r="C81" i="1"/>
  <c r="L80" i="1"/>
  <c r="K80" i="1"/>
  <c r="J80" i="1"/>
  <c r="I80" i="1"/>
  <c r="H80" i="1"/>
  <c r="G80" i="1"/>
  <c r="D80" i="1"/>
  <c r="C80" i="1"/>
  <c r="L79" i="1"/>
  <c r="J79" i="1"/>
  <c r="I79" i="1"/>
  <c r="H79" i="1"/>
  <c r="G79" i="1"/>
  <c r="E79" i="1"/>
  <c r="C79" i="1"/>
  <c r="L78" i="1"/>
  <c r="K78" i="1"/>
  <c r="J78" i="1"/>
  <c r="I78" i="1"/>
  <c r="H78" i="1"/>
  <c r="E78" i="1"/>
  <c r="D78" i="1"/>
  <c r="C78" i="1"/>
  <c r="L77" i="1"/>
  <c r="K77" i="1"/>
  <c r="J77" i="1"/>
  <c r="I77" i="1"/>
  <c r="H77" i="1"/>
  <c r="E77" i="1"/>
  <c r="D77" i="1"/>
  <c r="L76" i="1"/>
  <c r="K76" i="1"/>
  <c r="J76" i="1"/>
  <c r="I76" i="1"/>
  <c r="G76" i="1"/>
  <c r="E76" i="1"/>
  <c r="D76" i="1"/>
  <c r="L75" i="1"/>
  <c r="K75" i="1"/>
  <c r="J75" i="1"/>
  <c r="I75" i="1"/>
  <c r="H75" i="1"/>
  <c r="G75" i="1"/>
  <c r="D75" i="1"/>
  <c r="C75" i="1"/>
  <c r="L74" i="1"/>
  <c r="K74" i="1"/>
  <c r="J74" i="1"/>
  <c r="I74" i="1"/>
  <c r="H74" i="1"/>
  <c r="G74" i="1"/>
  <c r="E74" i="1"/>
  <c r="C74" i="1"/>
  <c r="L73" i="1"/>
  <c r="J73" i="1"/>
  <c r="I73" i="1"/>
  <c r="H73" i="1"/>
  <c r="G73" i="1"/>
  <c r="E73" i="1"/>
  <c r="D73" i="1"/>
  <c r="L72" i="1"/>
  <c r="K72" i="1"/>
  <c r="I72" i="1"/>
  <c r="H72" i="1"/>
  <c r="E72" i="1"/>
  <c r="D72" i="1"/>
  <c r="C72" i="1"/>
  <c r="L71" i="1"/>
  <c r="K71" i="1"/>
  <c r="J71" i="1"/>
  <c r="G71" i="1"/>
  <c r="E71" i="1"/>
  <c r="C71" i="1"/>
  <c r="L70" i="1"/>
  <c r="K70" i="1"/>
  <c r="J70" i="1"/>
  <c r="H70" i="1"/>
  <c r="G70" i="1"/>
  <c r="C70" i="1"/>
  <c r="L69" i="1"/>
  <c r="K69" i="1"/>
  <c r="J69" i="1"/>
  <c r="I69" i="1"/>
  <c r="H69" i="1"/>
  <c r="G69" i="1"/>
  <c r="E69" i="1"/>
  <c r="C69" i="1"/>
  <c r="L68" i="1"/>
  <c r="I68" i="1"/>
  <c r="H68" i="1"/>
  <c r="G68" i="1"/>
  <c r="E68" i="1"/>
  <c r="D68" i="1"/>
  <c r="C68" i="1"/>
  <c r="L67" i="1"/>
  <c r="K67" i="1"/>
  <c r="I67" i="1"/>
  <c r="H67" i="1"/>
  <c r="G67" i="1"/>
  <c r="D67" i="1"/>
  <c r="C67" i="1"/>
  <c r="L66" i="1"/>
  <c r="K66" i="1"/>
  <c r="J66" i="1"/>
  <c r="I66" i="1"/>
  <c r="E66" i="1"/>
  <c r="D66" i="1"/>
  <c r="L65" i="1"/>
  <c r="K65" i="1"/>
  <c r="J65" i="1"/>
  <c r="H65" i="1"/>
  <c r="G65" i="1"/>
  <c r="E65" i="1"/>
  <c r="C65" i="1"/>
  <c r="L64" i="1"/>
  <c r="K64" i="1"/>
  <c r="J64" i="1"/>
  <c r="I64" i="1"/>
  <c r="H64" i="1"/>
  <c r="G64" i="1"/>
  <c r="E64" i="1"/>
  <c r="C64" i="1"/>
  <c r="L63" i="1"/>
  <c r="K63" i="1"/>
  <c r="I63" i="1"/>
  <c r="H63" i="1"/>
  <c r="G63" i="1"/>
  <c r="E63" i="1"/>
  <c r="D63" i="1"/>
  <c r="C63" i="1"/>
  <c r="L62" i="1"/>
  <c r="J62" i="1"/>
  <c r="I62" i="1"/>
  <c r="G62" i="1"/>
  <c r="E62" i="1"/>
  <c r="D62" i="1"/>
  <c r="C62" i="1"/>
  <c r="K61" i="1"/>
  <c r="J61" i="1"/>
  <c r="I61" i="1"/>
  <c r="G61" i="1"/>
  <c r="E61" i="1"/>
  <c r="C61" i="1"/>
  <c r="L60" i="1"/>
  <c r="K60" i="1"/>
  <c r="I60" i="1"/>
  <c r="H60" i="1"/>
  <c r="G60" i="1"/>
  <c r="D60" i="1"/>
  <c r="C60" i="1"/>
  <c r="L59" i="1"/>
  <c r="K59" i="1"/>
  <c r="J59" i="1"/>
  <c r="I59" i="1"/>
  <c r="G59" i="1"/>
  <c r="E59" i="1"/>
  <c r="D59" i="1"/>
  <c r="L58" i="1"/>
  <c r="K58" i="1"/>
  <c r="J58" i="1"/>
  <c r="I58" i="1"/>
  <c r="H58" i="1"/>
  <c r="G58" i="1"/>
  <c r="E58" i="1"/>
  <c r="D58" i="1"/>
  <c r="C58" i="1"/>
  <c r="K57" i="1"/>
  <c r="J57" i="1"/>
  <c r="I57" i="1"/>
  <c r="H57" i="1"/>
  <c r="G57" i="1"/>
  <c r="E57" i="1"/>
  <c r="D57" i="1"/>
  <c r="C57" i="1"/>
  <c r="L56" i="1"/>
  <c r="K56" i="1"/>
  <c r="I56" i="1"/>
  <c r="H56" i="1"/>
  <c r="G56" i="1"/>
  <c r="E56" i="1"/>
  <c r="D56" i="1"/>
  <c r="C56" i="1"/>
  <c r="L55" i="1"/>
  <c r="J55" i="1"/>
  <c r="I55" i="1"/>
  <c r="G55" i="1"/>
  <c r="E55" i="1"/>
  <c r="D55" i="1"/>
  <c r="C55" i="1"/>
  <c r="L54" i="1"/>
  <c r="K54" i="1"/>
  <c r="J54" i="1"/>
  <c r="I54" i="1"/>
  <c r="H54" i="1"/>
  <c r="G54" i="1"/>
  <c r="E54" i="1"/>
  <c r="D54" i="1"/>
  <c r="C54" i="1"/>
  <c r="L53" i="1"/>
  <c r="K53" i="1"/>
  <c r="J53" i="1"/>
  <c r="H53" i="1"/>
  <c r="G53" i="1"/>
  <c r="E53" i="1"/>
  <c r="C53" i="1"/>
  <c r="L52" i="1"/>
  <c r="K52" i="1"/>
  <c r="J52" i="1"/>
  <c r="I52" i="1"/>
  <c r="H52" i="1"/>
  <c r="G52" i="1"/>
  <c r="E52" i="1"/>
  <c r="C52" i="1"/>
  <c r="L51" i="1"/>
  <c r="J51" i="1"/>
  <c r="I51" i="1"/>
  <c r="H51" i="1"/>
  <c r="G51" i="1"/>
  <c r="E51" i="1"/>
  <c r="D51" i="1"/>
  <c r="L50" i="1"/>
  <c r="K50" i="1"/>
  <c r="J50" i="1"/>
  <c r="I50" i="1"/>
  <c r="H50" i="1"/>
  <c r="E50" i="1"/>
  <c r="D50" i="1"/>
  <c r="C50" i="1"/>
  <c r="L49" i="1"/>
  <c r="K49" i="1"/>
  <c r="J49" i="1"/>
  <c r="H49" i="1"/>
  <c r="G49" i="1"/>
  <c r="C49" i="1"/>
  <c r="L48" i="1"/>
  <c r="K48" i="1"/>
  <c r="J48" i="1"/>
  <c r="H48" i="1"/>
  <c r="G48" i="1"/>
  <c r="E48" i="1"/>
  <c r="C48" i="1"/>
  <c r="L47" i="1"/>
  <c r="K47" i="1"/>
  <c r="J47" i="1"/>
  <c r="G47" i="1"/>
  <c r="E47" i="1"/>
  <c r="D47" i="1"/>
  <c r="C47" i="1"/>
  <c r="K46" i="1"/>
  <c r="J46" i="1"/>
  <c r="I46" i="1"/>
  <c r="G46" i="1"/>
  <c r="E46" i="1"/>
  <c r="D46" i="1"/>
  <c r="C46" i="1"/>
  <c r="H45" i="1"/>
  <c r="G45" i="1"/>
  <c r="E45" i="1"/>
  <c r="D45" i="1"/>
  <c r="C45" i="1"/>
  <c r="K44" i="1"/>
  <c r="J44" i="1"/>
  <c r="G44" i="1"/>
  <c r="D44" i="1"/>
  <c r="C44" i="1"/>
  <c r="I43" i="1"/>
  <c r="H43" i="1"/>
  <c r="E43" i="1"/>
  <c r="D43" i="1"/>
  <c r="L42" i="1"/>
  <c r="K42" i="1"/>
  <c r="J42" i="1"/>
  <c r="G42" i="1"/>
  <c r="E42" i="1"/>
  <c r="C42" i="1"/>
  <c r="L41" i="1"/>
  <c r="K41" i="1"/>
  <c r="J41" i="1"/>
  <c r="I41" i="1"/>
  <c r="E41" i="1"/>
  <c r="D41" i="1"/>
  <c r="K40" i="1"/>
  <c r="J40" i="1"/>
  <c r="I40" i="1"/>
  <c r="H40" i="1"/>
  <c r="E40" i="1"/>
  <c r="D40" i="1"/>
  <c r="C40" i="1"/>
  <c r="L39" i="1"/>
  <c r="K39" i="1"/>
  <c r="J39" i="1"/>
  <c r="I39" i="1"/>
  <c r="H39" i="1"/>
  <c r="G39" i="1"/>
  <c r="D39" i="1"/>
  <c r="C39" i="1"/>
  <c r="L38" i="1"/>
  <c r="J38" i="1"/>
  <c r="H38" i="1"/>
  <c r="G38" i="1"/>
  <c r="E38" i="1"/>
  <c r="D38" i="1"/>
  <c r="L37" i="1"/>
  <c r="K37" i="1"/>
  <c r="J37" i="1"/>
  <c r="I37" i="1"/>
  <c r="H37" i="1"/>
  <c r="G37" i="1"/>
  <c r="E37" i="1"/>
  <c r="D37" i="1"/>
  <c r="L36" i="1"/>
  <c r="K36" i="1"/>
  <c r="J36" i="1"/>
  <c r="I36" i="1"/>
  <c r="H36" i="1"/>
  <c r="G36" i="1"/>
  <c r="C36" i="1"/>
  <c r="K35" i="1"/>
  <c r="J35" i="1"/>
  <c r="I35" i="1"/>
  <c r="H35" i="1"/>
  <c r="G35" i="1"/>
  <c r="D35" i="1"/>
  <c r="C35" i="1"/>
  <c r="L34" i="1"/>
  <c r="K34" i="1"/>
  <c r="I34" i="1"/>
  <c r="H34" i="1"/>
  <c r="G34" i="1"/>
  <c r="E34" i="1"/>
  <c r="D34" i="1"/>
  <c r="C34" i="1"/>
  <c r="L33" i="1"/>
  <c r="K33" i="1"/>
  <c r="J33" i="1"/>
  <c r="H33" i="1"/>
  <c r="G33" i="1"/>
  <c r="D33" i="1"/>
  <c r="C33" i="1"/>
  <c r="K32" i="1"/>
  <c r="J32" i="1"/>
  <c r="I32" i="1"/>
  <c r="G32" i="1"/>
  <c r="C32" i="1"/>
  <c r="L31" i="1"/>
  <c r="K31" i="1"/>
  <c r="J31" i="1"/>
  <c r="I31" i="1"/>
  <c r="G31" i="1"/>
  <c r="E31" i="1"/>
  <c r="C31" i="1"/>
  <c r="L30" i="1"/>
  <c r="K30" i="1"/>
  <c r="I30" i="1"/>
  <c r="H30" i="1"/>
  <c r="D30" i="1"/>
  <c r="C30" i="1"/>
  <c r="L29" i="1"/>
  <c r="J29" i="1"/>
  <c r="I29" i="1"/>
  <c r="E29" i="1"/>
  <c r="D29" i="1"/>
  <c r="C29" i="1"/>
  <c r="L28" i="1"/>
  <c r="K28" i="1"/>
  <c r="I28" i="1"/>
  <c r="H28" i="1"/>
  <c r="E28" i="1"/>
  <c r="D28" i="1"/>
  <c r="C28" i="1"/>
  <c r="L27" i="1"/>
  <c r="K27" i="1"/>
  <c r="J27" i="1"/>
  <c r="H27" i="1"/>
  <c r="D27" i="1"/>
  <c r="K26" i="1"/>
  <c r="I26" i="1"/>
  <c r="E26" i="1"/>
  <c r="C26" i="1"/>
  <c r="L25" i="1"/>
  <c r="K25" i="1"/>
  <c r="J25" i="1"/>
  <c r="H25" i="1"/>
  <c r="G25" i="1"/>
  <c r="D25" i="1"/>
  <c r="C25" i="1"/>
  <c r="L24" i="1"/>
  <c r="J24" i="1"/>
  <c r="I24" i="1"/>
  <c r="H24" i="1"/>
  <c r="G24" i="1"/>
  <c r="E24" i="1"/>
  <c r="D24" i="1"/>
  <c r="L23" i="1"/>
  <c r="K23" i="1"/>
  <c r="J23" i="1"/>
  <c r="I23" i="1"/>
  <c r="G23" i="1"/>
  <c r="E23" i="1"/>
  <c r="D23" i="1"/>
  <c r="L22" i="1"/>
  <c r="K22" i="1"/>
  <c r="J22" i="1"/>
  <c r="I22" i="1"/>
  <c r="G22" i="1"/>
  <c r="E22" i="1"/>
  <c r="D22" i="1"/>
  <c r="L21" i="1"/>
  <c r="K21" i="1"/>
  <c r="J21" i="1"/>
  <c r="I21" i="1"/>
  <c r="G21" i="1"/>
  <c r="E21" i="1"/>
  <c r="D21" i="1"/>
  <c r="L20" i="1"/>
  <c r="J20" i="1"/>
  <c r="I20" i="1"/>
  <c r="H20" i="1"/>
  <c r="E20" i="1"/>
  <c r="D20" i="1"/>
  <c r="C20" i="1"/>
  <c r="L19" i="1"/>
  <c r="I19" i="1"/>
  <c r="H19" i="1"/>
  <c r="E19" i="1"/>
  <c r="D19" i="1"/>
  <c r="L18" i="1"/>
  <c r="K18" i="1"/>
  <c r="J18" i="1"/>
  <c r="I18" i="1"/>
  <c r="G18" i="1"/>
  <c r="E18" i="1"/>
  <c r="C18" i="1"/>
  <c r="K17" i="1"/>
  <c r="I17" i="1"/>
  <c r="H17" i="1"/>
  <c r="G17" i="1"/>
  <c r="E17" i="1"/>
  <c r="D17" i="1"/>
  <c r="K16" i="1"/>
  <c r="J16" i="1"/>
  <c r="I16" i="1"/>
  <c r="H16" i="1"/>
  <c r="G16" i="1"/>
  <c r="E16" i="1"/>
  <c r="D16" i="1"/>
  <c r="L15" i="1"/>
  <c r="K15" i="1"/>
  <c r="J15" i="1"/>
  <c r="I15" i="1"/>
  <c r="H15" i="1"/>
  <c r="G15" i="1"/>
  <c r="E15" i="1"/>
  <c r="L14" i="1"/>
  <c r="K14" i="1"/>
  <c r="J14" i="1"/>
  <c r="I14" i="1"/>
  <c r="H14" i="1"/>
  <c r="D14" i="1"/>
  <c r="BB167" i="1" l="1"/>
  <c r="BB166" i="1"/>
  <c r="BB184" i="1"/>
  <c r="BB185" i="1"/>
  <c r="AU173" i="1"/>
  <c r="AT214" i="1" s="1"/>
  <c r="AU253" i="1"/>
  <c r="AT254" i="1" s="1"/>
  <c r="BF160" i="1"/>
  <c r="BF159" i="1"/>
  <c r="BB160" i="1"/>
  <c r="BB159" i="1"/>
  <c r="BB179" i="1"/>
  <c r="BB180" i="1"/>
  <c r="AU168" i="1"/>
  <c r="AT205" i="1" s="1"/>
  <c r="AU205" i="1" s="1"/>
  <c r="AT215" i="1" s="1"/>
  <c r="AU203" i="1"/>
  <c r="AS229" i="1" s="1"/>
  <c r="BB570" i="1" s="1"/>
  <c r="BB144" i="1"/>
  <c r="BF147" i="1"/>
  <c r="Q154" i="1"/>
  <c r="BB232" i="1"/>
  <c r="BB237" i="1"/>
  <c r="BB157" i="1"/>
  <c r="AU148" i="1"/>
  <c r="AS209" i="1" s="1"/>
  <c r="AU250" i="1"/>
  <c r="AT252" i="1" s="1"/>
  <c r="BB149" i="1"/>
  <c r="BB150" i="1"/>
  <c r="BB257" i="1"/>
  <c r="BB256" i="1"/>
  <c r="AU166" i="1"/>
  <c r="AS207" i="1" s="1"/>
  <c r="BB451" i="1"/>
  <c r="BB155" i="1"/>
  <c r="AU146" i="1"/>
  <c r="AT147" i="1" s="1"/>
  <c r="BB154" i="1"/>
  <c r="BB515" i="1"/>
  <c r="BB514" i="1"/>
  <c r="BB397" i="1"/>
  <c r="BB396" i="1"/>
  <c r="BB402" i="1"/>
  <c r="BB401" i="1"/>
  <c r="BB415" i="1"/>
  <c r="BB414" i="1"/>
  <c r="BB395" i="1"/>
  <c r="BB394" i="1"/>
  <c r="AU194" i="1"/>
  <c r="AS232" i="1" s="1"/>
  <c r="BB497" i="1"/>
  <c r="BB496" i="1"/>
  <c r="AU210" i="1"/>
  <c r="AS228" i="1" s="1"/>
  <c r="BB482" i="1"/>
  <c r="BB481" i="1"/>
  <c r="BB190" i="1"/>
  <c r="BB189" i="1"/>
  <c r="AU153" i="1"/>
  <c r="AT154" i="1" s="1"/>
  <c r="BB262" i="1"/>
  <c r="BB261" i="1"/>
  <c r="AU167" i="1"/>
  <c r="AS216" i="1" s="1"/>
  <c r="BB380" i="1"/>
  <c r="BB379" i="1"/>
  <c r="BB147" i="1"/>
  <c r="AU144" i="1"/>
  <c r="AT145" i="1" s="1"/>
  <c r="AU145" i="1" s="1"/>
  <c r="AT177" i="1" s="1"/>
  <c r="BB146" i="1"/>
  <c r="AU211" i="1"/>
  <c r="AT223" i="1" s="1"/>
  <c r="BB172" i="1"/>
  <c r="BB171" i="1"/>
  <c r="AU165" i="1"/>
  <c r="AT191" i="1" s="1"/>
  <c r="BB250" i="1"/>
  <c r="BB249" i="1"/>
  <c r="BB370" i="1"/>
  <c r="BB369" i="1"/>
  <c r="BB375" i="1"/>
  <c r="BB374" i="1"/>
  <c r="BB385" i="1"/>
  <c r="BB384" i="1"/>
  <c r="BB345" i="1"/>
  <c r="BB344" i="1"/>
  <c r="BB455" i="1"/>
  <c r="BB454" i="1"/>
  <c r="BB242" i="1"/>
  <c r="BB241" i="1"/>
  <c r="BB360" i="1"/>
  <c r="BB359" i="1"/>
  <c r="BB300" i="1"/>
  <c r="BB299" i="1"/>
  <c r="BB362" i="1"/>
  <c r="BB361" i="1"/>
  <c r="AU192" i="1"/>
  <c r="AT193" i="1" s="1"/>
  <c r="BB207" i="1"/>
  <c r="AU181" i="1"/>
  <c r="AS220" i="1" s="1"/>
  <c r="BB330" i="1"/>
  <c r="BB329" i="1"/>
  <c r="AU187" i="1"/>
  <c r="AT204" i="1" s="1"/>
  <c r="BB357" i="1"/>
  <c r="BB356" i="1"/>
  <c r="AU163" i="1"/>
  <c r="AT175" i="1" s="1"/>
  <c r="BB240" i="1"/>
  <c r="AU152" i="1"/>
  <c r="AT185" i="1" s="1"/>
  <c r="BB195" i="1"/>
  <c r="BB194" i="1"/>
  <c r="BB410" i="1"/>
  <c r="BB409" i="1"/>
  <c r="BB335" i="1"/>
  <c r="BB334" i="1"/>
  <c r="BB220" i="1"/>
  <c r="BB219" i="1"/>
  <c r="BB230" i="1"/>
  <c r="BB387" i="1"/>
  <c r="BB386" i="1"/>
  <c r="BB192" i="1"/>
  <c r="BB191" i="1"/>
  <c r="BB200" i="1"/>
  <c r="BB199" i="1"/>
  <c r="BB175" i="1"/>
  <c r="BB174" i="1"/>
  <c r="BB186" i="1"/>
  <c r="BB305" i="1"/>
  <c r="BB304" i="1"/>
  <c r="AU176" i="1"/>
  <c r="AS208" i="1" s="1"/>
  <c r="BB495" i="1"/>
  <c r="BB494" i="1"/>
  <c r="AU156" i="1"/>
  <c r="AT157" i="1" s="1"/>
  <c r="BB222" i="1"/>
  <c r="BB221" i="1"/>
  <c r="BB204" i="1"/>
  <c r="BB485" i="1"/>
  <c r="BB484" i="1"/>
  <c r="BB239" i="1"/>
  <c r="BB365" i="1"/>
  <c r="BB364" i="1"/>
  <c r="BB215" i="1"/>
  <c r="BB214" i="1"/>
  <c r="AU159" i="1"/>
  <c r="AT182" i="1" s="1"/>
  <c r="BB407" i="1"/>
  <c r="BB406" i="1"/>
  <c r="BB425" i="1"/>
  <c r="BB424" i="1"/>
  <c r="AU200" i="1"/>
  <c r="AT218" i="1" s="1"/>
  <c r="AU218" i="1" s="1"/>
  <c r="AT231" i="1" s="1"/>
  <c r="BB427" i="1"/>
  <c r="BB426" i="1"/>
  <c r="AU214" i="1"/>
  <c r="AT227" i="1" s="1"/>
  <c r="BB470" i="1"/>
  <c r="BB469" i="1"/>
  <c r="BB310" i="1"/>
  <c r="BB309" i="1"/>
  <c r="BB217" i="1"/>
  <c r="BB216" i="1"/>
  <c r="BB225" i="1"/>
  <c r="BB224" i="1"/>
  <c r="BB254" i="1"/>
  <c r="BB255" i="1"/>
  <c r="BB235" i="1"/>
  <c r="BB227" i="1"/>
  <c r="BB226" i="1"/>
  <c r="BB320" i="1"/>
  <c r="BB319" i="1"/>
  <c r="BB332" i="1"/>
  <c r="BB331" i="1"/>
  <c r="BB435" i="1"/>
  <c r="BB434" i="1"/>
  <c r="AU202" i="1"/>
  <c r="AT213" i="1" s="1"/>
  <c r="BB247" i="1"/>
  <c r="BB246" i="1"/>
  <c r="BB405" i="1"/>
  <c r="BB404" i="1"/>
  <c r="AU196" i="1"/>
  <c r="AS213" i="1" s="1"/>
  <c r="BB234" i="1"/>
  <c r="BB437" i="1"/>
  <c r="BB436" i="1"/>
  <c r="BB164" i="1"/>
  <c r="BB165" i="1"/>
  <c r="BB260" i="1"/>
  <c r="BB259" i="1"/>
  <c r="BB315" i="1"/>
  <c r="BB314" i="1"/>
  <c r="AU164" i="1"/>
  <c r="AT178" i="1" s="1"/>
  <c r="BB245" i="1"/>
  <c r="BB279" i="1"/>
  <c r="AU171" i="1"/>
  <c r="AS215" i="1" s="1"/>
  <c r="BB280" i="1"/>
  <c r="BB480" i="1"/>
  <c r="BB479" i="1"/>
  <c r="BB400" i="1"/>
  <c r="AU195" i="1"/>
  <c r="AS226" i="1" s="1"/>
  <c r="BB399" i="1"/>
  <c r="BB347" i="1"/>
  <c r="BB346" i="1"/>
  <c r="BB210" i="1"/>
  <c r="BB340" i="1"/>
  <c r="BB339" i="1"/>
  <c r="BB270" i="1"/>
  <c r="BB269" i="1"/>
  <c r="BB275" i="1"/>
  <c r="AU170" i="1"/>
  <c r="AT198" i="1" s="1"/>
  <c r="BB274" i="1"/>
  <c r="AU161" i="1"/>
  <c r="AT174" i="1" s="1"/>
  <c r="BB265" i="1"/>
  <c r="BB264" i="1"/>
  <c r="BB277" i="1"/>
  <c r="BB276" i="1"/>
  <c r="BB540" i="1"/>
  <c r="BB539" i="1"/>
  <c r="BF155" i="1"/>
  <c r="AU252" i="1"/>
  <c r="AS254" i="1" s="1"/>
  <c r="BF154" i="1"/>
  <c r="BB325" i="1"/>
  <c r="BB324" i="1"/>
  <c r="BB272" i="1"/>
  <c r="BB271" i="1"/>
  <c r="BB170" i="1"/>
  <c r="BB169" i="1"/>
  <c r="AU149" i="1"/>
  <c r="AT150" i="1" s="1"/>
  <c r="AU150" i="1" s="1"/>
  <c r="AT151" i="1" s="1"/>
  <c r="BB266" i="1"/>
  <c r="BB267" i="1"/>
  <c r="AU169" i="1"/>
  <c r="AS193" i="1" s="1"/>
  <c r="BB252" i="1"/>
  <c r="BB251" i="1"/>
  <c r="BB475" i="1"/>
  <c r="BB474" i="1"/>
  <c r="AU199" i="1"/>
  <c r="AT210" i="1" s="1"/>
  <c r="BB420" i="1"/>
  <c r="BB419" i="1"/>
  <c r="BB422" i="1"/>
  <c r="BB421" i="1"/>
  <c r="BF162" i="1"/>
  <c r="BF161" i="1"/>
  <c r="BB289" i="1"/>
  <c r="BB429" i="1"/>
  <c r="BB439" i="1"/>
  <c r="BB449" i="1"/>
  <c r="BB290" i="1"/>
  <c r="BB430" i="1"/>
  <c r="BB440" i="1"/>
  <c r="BB450" i="1"/>
  <c r="AU172" i="1"/>
  <c r="AT201" i="1" s="1"/>
  <c r="AU201" i="1" s="1"/>
  <c r="AS221" i="1" s="1"/>
  <c r="AU174" i="1"/>
  <c r="AT189" i="1" s="1"/>
  <c r="AU189" i="1" s="1"/>
  <c r="AS222" i="1" s="1"/>
  <c r="BB281" i="1"/>
  <c r="BB291" i="1"/>
  <c r="BB441" i="1"/>
  <c r="BB284" i="1"/>
  <c r="BB294" i="1"/>
  <c r="BB444" i="1"/>
  <c r="BB544" i="1"/>
  <c r="BB286" i="1"/>
  <c r="BB306" i="1"/>
  <c r="BB569" i="1" l="1"/>
  <c r="BB452" i="1"/>
  <c r="BF167" i="1"/>
  <c r="BF166" i="1"/>
  <c r="BF156" i="1"/>
  <c r="BF157" i="1"/>
  <c r="BB535" i="1"/>
  <c r="BB534" i="1"/>
  <c r="BB530" i="1"/>
  <c r="BB529" i="1"/>
  <c r="BB312" i="1"/>
  <c r="BB311" i="1"/>
  <c r="AU177" i="1"/>
  <c r="AT188" i="1" s="1"/>
  <c r="BB582" i="1"/>
  <c r="BB581" i="1"/>
  <c r="BB417" i="1"/>
  <c r="BB416" i="1"/>
  <c r="BB517" i="1"/>
  <c r="BB516" i="1"/>
  <c r="BB565" i="1"/>
  <c r="BB564" i="1"/>
  <c r="BB542" i="1"/>
  <c r="BB541" i="1"/>
  <c r="BB337" i="1"/>
  <c r="BB336" i="1"/>
  <c r="AU182" i="1"/>
  <c r="AT197" i="1" s="1"/>
  <c r="BB585" i="1"/>
  <c r="BB584" i="1"/>
  <c r="BB392" i="1"/>
  <c r="BB391" i="1"/>
  <c r="BB500" i="1"/>
  <c r="BB499" i="1"/>
  <c r="AU215" i="1"/>
  <c r="AT220" i="1" s="1"/>
  <c r="AU220" i="1" s="1"/>
  <c r="AS233" i="1" s="1"/>
  <c r="BB181" i="1"/>
  <c r="BB182" i="1"/>
  <c r="AU151" i="1"/>
  <c r="AT179" i="1" s="1"/>
  <c r="AU198" i="1"/>
  <c r="AT212" i="1" s="1"/>
  <c r="BB382" i="1"/>
  <c r="BB381" i="1"/>
  <c r="BB162" i="1"/>
  <c r="BB161" i="1"/>
  <c r="BB460" i="1"/>
  <c r="BB459" i="1"/>
  <c r="BB212" i="1"/>
  <c r="BB211" i="1"/>
  <c r="BB317" i="1"/>
  <c r="BB316" i="1"/>
  <c r="BB477" i="1"/>
  <c r="BB476" i="1"/>
  <c r="BB525" i="1"/>
  <c r="BB524" i="1"/>
  <c r="BB502" i="1"/>
  <c r="BB501" i="1"/>
  <c r="BB555" i="1"/>
  <c r="BB554" i="1"/>
  <c r="BB505" i="1"/>
  <c r="BB504" i="1"/>
  <c r="BB492" i="1"/>
  <c r="BB491" i="1"/>
  <c r="AU223" i="1"/>
  <c r="AT228" i="1" s="1"/>
  <c r="BB352" i="1"/>
  <c r="BB351" i="1"/>
  <c r="AU147" i="1"/>
  <c r="AS185" i="1" s="1"/>
  <c r="BB432" i="1"/>
  <c r="BB431" i="1"/>
  <c r="AU254" i="1"/>
  <c r="BF165" i="1"/>
  <c r="BF164" i="1"/>
  <c r="BB372" i="1"/>
  <c r="BB371" i="1"/>
  <c r="AU191" i="1"/>
  <c r="AT209" i="1" s="1"/>
  <c r="AU157" i="1"/>
  <c r="AS186" i="1" s="1"/>
  <c r="BB390" i="1"/>
  <c r="AU193" i="1"/>
  <c r="AT206" i="1" s="1"/>
  <c r="BB389" i="1"/>
  <c r="BB176" i="1"/>
  <c r="BB177" i="1"/>
  <c r="BB562" i="1"/>
  <c r="BB561" i="1"/>
  <c r="BB302" i="1"/>
  <c r="BB301" i="1"/>
  <c r="BB197" i="1"/>
  <c r="BB196" i="1"/>
  <c r="AU154" i="1"/>
  <c r="AT155" i="1" s="1"/>
  <c r="BB447" i="1"/>
  <c r="BB446" i="1"/>
  <c r="AU178" i="1"/>
  <c r="AT183" i="1" s="1"/>
  <c r="BB465" i="1"/>
  <c r="BB464" i="1"/>
  <c r="BB152" i="1"/>
  <c r="BB151" i="1"/>
  <c r="BB490" i="1"/>
  <c r="BB489" i="1"/>
  <c r="AU213" i="1"/>
  <c r="AS231" i="1" s="1"/>
  <c r="AU204" i="1"/>
  <c r="AT224" i="1" s="1"/>
  <c r="BB297" i="1"/>
  <c r="BB296" i="1"/>
  <c r="AU175" i="1"/>
  <c r="AT190" i="1" s="1"/>
  <c r="BB590" i="1" l="1"/>
  <c r="BB589" i="1"/>
  <c r="BB457" i="1"/>
  <c r="BB456" i="1"/>
  <c r="AU206" i="1"/>
  <c r="AT216" i="1" s="1"/>
  <c r="BB567" i="1"/>
  <c r="BB566" i="1"/>
  <c r="BB472" i="1"/>
  <c r="BB471" i="1"/>
  <c r="AU209" i="1"/>
  <c r="AT221" i="1" s="1"/>
  <c r="BB367" i="1"/>
  <c r="BB366" i="1"/>
  <c r="AU188" i="1"/>
  <c r="AS237" i="1" s="1"/>
  <c r="BB412" i="1"/>
  <c r="BB411" i="1"/>
  <c r="AU197" i="1"/>
  <c r="AT208" i="1" s="1"/>
  <c r="BB487" i="1"/>
  <c r="BB486" i="1"/>
  <c r="AU212" i="1"/>
  <c r="AS227" i="1" s="1"/>
  <c r="BB527" i="1"/>
  <c r="BB526" i="1"/>
  <c r="BB547" i="1"/>
  <c r="BB546" i="1"/>
  <c r="AU224" i="1"/>
  <c r="AT226" i="1" s="1"/>
  <c r="BB322" i="1"/>
  <c r="BB321" i="1"/>
  <c r="AU179" i="1"/>
  <c r="AS217" i="1" s="1"/>
  <c r="AU228" i="1"/>
  <c r="AS235" i="1" s="1"/>
  <c r="BB355" i="1"/>
  <c r="BB354" i="1"/>
  <c r="AU186" i="1"/>
  <c r="AT217" i="1" s="1"/>
  <c r="BB342" i="1"/>
  <c r="BB341" i="1"/>
  <c r="AU183" i="1"/>
  <c r="AT207" i="1" s="1"/>
  <c r="BB201" i="1"/>
  <c r="BB202" i="1"/>
  <c r="AU155" i="1"/>
  <c r="AT180" i="1" s="1"/>
  <c r="BB377" i="1"/>
  <c r="BB376" i="1"/>
  <c r="AU190" i="1"/>
  <c r="AT222" i="1" s="1"/>
  <c r="AU231" i="1"/>
  <c r="AS238" i="1" s="1"/>
  <c r="BB580" i="1"/>
  <c r="BB579" i="1"/>
  <c r="BB350" i="1"/>
  <c r="BB349" i="1"/>
  <c r="AU185" i="1"/>
  <c r="AT219" i="1" s="1"/>
  <c r="BB510" i="1" l="1"/>
  <c r="BB509" i="1"/>
  <c r="AU217" i="1"/>
  <c r="AS230" i="1" s="1"/>
  <c r="BB522" i="1"/>
  <c r="BB521" i="1"/>
  <c r="BB600" i="1"/>
  <c r="BB599" i="1"/>
  <c r="BB537" i="1"/>
  <c r="BB536" i="1"/>
  <c r="AU222" i="1"/>
  <c r="AT229" i="1" s="1"/>
  <c r="BB610" i="1"/>
  <c r="BB609" i="1"/>
  <c r="BB557" i="1"/>
  <c r="BB556" i="1"/>
  <c r="AU226" i="1"/>
  <c r="AT232" i="1" s="1"/>
  <c r="BB327" i="1"/>
  <c r="BB326" i="1"/>
  <c r="AU180" i="1"/>
  <c r="AS219" i="1" s="1"/>
  <c r="BB532" i="1"/>
  <c r="BB531" i="1"/>
  <c r="AU221" i="1"/>
  <c r="AT230" i="1" s="1"/>
  <c r="BB507" i="1"/>
  <c r="BB506" i="1"/>
  <c r="AU216" i="1"/>
  <c r="AT225" i="1" s="1"/>
  <c r="BB462" i="1"/>
  <c r="BB461" i="1"/>
  <c r="AU207" i="1"/>
  <c r="AS236" i="1" s="1"/>
  <c r="BB512" i="1"/>
  <c r="BB511" i="1"/>
  <c r="BB615" i="1"/>
  <c r="BB614" i="1"/>
  <c r="AU227" i="1"/>
  <c r="AS234" i="1" s="1"/>
  <c r="BB560" i="1"/>
  <c r="BB559" i="1"/>
  <c r="BB467" i="1"/>
  <c r="BB466" i="1"/>
  <c r="AU208" i="1"/>
  <c r="AS225" i="1" s="1"/>
  <c r="BB605" i="1" l="1"/>
  <c r="BB604" i="1"/>
  <c r="BB552" i="1"/>
  <c r="BB551" i="1"/>
  <c r="AU225" i="1"/>
  <c r="AT233" i="1" s="1"/>
  <c r="BB550" i="1"/>
  <c r="BB549" i="1"/>
  <c r="BB577" i="1"/>
  <c r="BB576" i="1"/>
  <c r="BB572" i="1"/>
  <c r="BB571" i="1"/>
  <c r="AU229" i="1"/>
  <c r="AT234" i="1" s="1"/>
  <c r="BB520" i="1"/>
  <c r="BB519" i="1"/>
  <c r="AU219" i="1"/>
  <c r="AT237" i="1" s="1"/>
  <c r="BB595" i="1"/>
  <c r="BB594" i="1"/>
  <c r="BB575" i="1"/>
  <c r="BB574" i="1"/>
  <c r="AU230" i="1"/>
  <c r="AT236" i="1" s="1"/>
  <c r="BB587" i="1"/>
  <c r="BB586" i="1"/>
  <c r="AU232" i="1"/>
  <c r="AT235" i="1" s="1"/>
  <c r="BB612" i="1" l="1"/>
  <c r="BB611" i="1"/>
  <c r="AU237" i="1"/>
  <c r="AS239" i="1" s="1"/>
  <c r="BB602" i="1"/>
  <c r="BB601" i="1"/>
  <c r="AU235" i="1"/>
  <c r="AS241" i="1" s="1"/>
  <c r="BB597" i="1"/>
  <c r="BB596" i="1"/>
  <c r="BB607" i="1"/>
  <c r="BB606" i="1"/>
  <c r="BB592" i="1"/>
  <c r="BB591" i="1"/>
  <c r="AU233" i="1"/>
  <c r="AS240" i="1" s="1"/>
  <c r="AU234" i="1"/>
  <c r="AT240" i="1" s="1"/>
  <c r="AU236" i="1"/>
  <c r="AT238" i="1" s="1"/>
  <c r="BB625" i="1" l="1"/>
  <c r="BB624" i="1"/>
  <c r="AU240" i="1"/>
  <c r="AT241" i="1" s="1"/>
  <c r="BB617" i="1"/>
  <c r="BB616" i="1"/>
  <c r="AU238" i="1"/>
  <c r="AT239" i="1" s="1"/>
  <c r="BB627" i="1"/>
  <c r="BB626" i="1"/>
  <c r="BB630" i="1"/>
  <c r="BB629" i="1"/>
  <c r="AU241" i="1"/>
  <c r="AT242" i="1" s="1"/>
  <c r="BB620" i="1"/>
  <c r="BB619" i="1"/>
  <c r="AU239" i="1"/>
  <c r="AS242" i="1" s="1"/>
  <c r="BB635" i="1" l="1"/>
  <c r="BB634" i="1"/>
  <c r="AU242" i="1"/>
  <c r="BB637" i="1"/>
  <c r="BB636" i="1"/>
  <c r="BB622" i="1"/>
  <c r="BB621" i="1"/>
  <c r="BB632" i="1"/>
  <c r="BB63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4" authorId="0" shapeId="0" xr:uid="{00000000-0006-0000-0000-000001000000}">
      <text>
        <r>
          <rPr>
            <sz val="8"/>
            <color indexed="81"/>
            <rFont val="Tahoma"/>
            <family val="2"/>
          </rPr>
          <t>Source CSV row 1; Group 6; 4 weeks.
Sample_ID is a traceability label, not an original animal ID.</t>
        </r>
      </text>
    </comment>
    <comment ref="C15" authorId="0" shapeId="0" xr:uid="{00000000-0006-0000-0000-000002000000}">
      <text>
        <r>
          <rPr>
            <sz val="8"/>
            <color indexed="81"/>
            <rFont val="Tahoma"/>
            <family val="2"/>
          </rPr>
          <t>Source CSV row 2; Group 6; 4 weeks.
Sample_ID is a traceability label, not an original animal ID.</t>
        </r>
      </text>
    </comment>
    <comment ref="C16" authorId="0" shapeId="0" xr:uid="{00000000-0006-0000-0000-000003000000}">
      <text>
        <r>
          <rPr>
            <sz val="8"/>
            <color indexed="81"/>
            <rFont val="Tahoma"/>
            <family val="2"/>
          </rPr>
          <t>Source CSV row 5; Group 6; 4 weeks.
Sample_ID is a traceability label, not an original animal ID.</t>
        </r>
      </text>
    </comment>
    <comment ref="P16" authorId="0" shapeId="0" xr:uid="{00000000-0006-0000-0000-000065000000}">
      <text>
        <r>
          <rPr>
            <sz val="8"/>
            <color indexed="81"/>
            <rFont val="Tahoma"/>
            <family val="2"/>
          </rPr>
          <t>Generated from the original CSV row position. These are not supplied animal identifiers.</t>
        </r>
      </text>
    </comment>
    <comment ref="S16" authorId="0" shapeId="0" xr:uid="{00000000-0006-0000-0000-000066000000}">
      <text>
        <r>
          <rPr>
            <sz val="8"/>
            <color indexed="81"/>
            <rFont val="Tahoma"/>
            <family val="2"/>
          </rPr>
          <t>These supplied feature values are already z-scores (population SD = 1); no second scaling was applied.</t>
        </r>
      </text>
    </comment>
    <comment ref="C17" authorId="0" shapeId="0" xr:uid="{00000000-0006-0000-0000-000004000000}">
      <text>
        <r>
          <rPr>
            <sz val="8"/>
            <color indexed="81"/>
            <rFont val="Tahoma"/>
            <family val="2"/>
          </rPr>
          <t>Source CSV row 3; Group 6; 4 weeks.
Sample_ID is a traceability label, not an original animal ID.</t>
        </r>
      </text>
    </comment>
    <comment ref="C18" authorId="0" shapeId="0" xr:uid="{00000000-0006-0000-0000-000005000000}">
      <text>
        <r>
          <rPr>
            <sz val="8"/>
            <color indexed="81"/>
            <rFont val="Tahoma"/>
            <family val="2"/>
          </rPr>
          <t>Source CSV row 4; Group 6; 4 weeks.
Sample_ID is a traceability label, not an original animal ID.</t>
        </r>
      </text>
    </comment>
    <comment ref="C19" authorId="0" shapeId="0" xr:uid="{00000000-0006-0000-0000-000006000000}">
      <text>
        <r>
          <rPr>
            <sz val="8"/>
            <color indexed="81"/>
            <rFont val="Tahoma"/>
            <family val="2"/>
          </rPr>
          <t>Source CSV row 6; Group 2; 4 weeks.
Sample_ID is a traceability label, not an original animal ID.</t>
        </r>
      </text>
    </comment>
    <comment ref="C20" authorId="0" shapeId="0" xr:uid="{00000000-0006-0000-0000-000007000000}">
      <text>
        <r>
          <rPr>
            <sz val="8"/>
            <color indexed="81"/>
            <rFont val="Tahoma"/>
            <family val="2"/>
          </rPr>
          <t>Source CSV row 10; Group 2; 4 weeks.
Sample_ID is a traceability label, not an original animal ID.</t>
        </r>
      </text>
    </comment>
    <comment ref="C21" authorId="0" shapeId="0" xr:uid="{00000000-0006-0000-0000-000008000000}">
      <text>
        <r>
          <rPr>
            <sz val="8"/>
            <color indexed="81"/>
            <rFont val="Tahoma"/>
            <family val="2"/>
          </rPr>
          <t>Source CSV row 9; Group 2; 4 weeks.
Sample_ID is a traceability label, not an original animal ID.</t>
        </r>
      </text>
    </comment>
    <comment ref="C22" authorId="0" shapeId="0" xr:uid="{00000000-0006-0000-0000-000009000000}">
      <text>
        <r>
          <rPr>
            <sz val="8"/>
            <color indexed="81"/>
            <rFont val="Tahoma"/>
            <family val="2"/>
          </rPr>
          <t>Source CSV row 7; Group 2; 4 weeks.
Sample_ID is a traceability label, not an original animal ID.</t>
        </r>
      </text>
    </comment>
    <comment ref="C23" authorId="0" shapeId="0" xr:uid="{00000000-0006-0000-0000-00000A000000}">
      <text>
        <r>
          <rPr>
            <sz val="8"/>
            <color indexed="81"/>
            <rFont val="Tahoma"/>
            <family val="2"/>
          </rPr>
          <t>Source CSV row 8; Group 2; 4 weeks.
Sample_ID is a traceability label, not an original animal ID.</t>
        </r>
      </text>
    </comment>
    <comment ref="C24" authorId="0" shapeId="0" xr:uid="{00000000-0006-0000-0000-00000B000000}">
      <text>
        <r>
          <rPr>
            <sz val="8"/>
            <color indexed="81"/>
            <rFont val="Tahoma"/>
            <family val="2"/>
          </rPr>
          <t>Source CSV row 13; Group 2; 12 weeks.
Sample_ID is a traceability label, not an original animal ID.</t>
        </r>
      </text>
    </comment>
    <comment ref="C25" authorId="0" shapeId="0" xr:uid="{00000000-0006-0000-0000-00000C000000}">
      <text>
        <r>
          <rPr>
            <sz val="8"/>
            <color indexed="81"/>
            <rFont val="Tahoma"/>
            <family val="2"/>
          </rPr>
          <t>Source CSV row 11; Group 2; 12 weeks.
Sample_ID is a traceability label, not an original animal ID.</t>
        </r>
      </text>
    </comment>
    <comment ref="C26" authorId="0" shapeId="0" xr:uid="{00000000-0006-0000-0000-00000D000000}">
      <text>
        <r>
          <rPr>
            <sz val="8"/>
            <color indexed="81"/>
            <rFont val="Tahoma"/>
            <family val="2"/>
          </rPr>
          <t>Source CSV row 12; Group 2; 12 weeks.
Sample_ID is a traceability label, not an original animal ID.</t>
        </r>
      </text>
    </comment>
    <comment ref="C27" authorId="0" shapeId="0" xr:uid="{00000000-0006-0000-0000-00000E000000}">
      <text>
        <r>
          <rPr>
            <sz val="8"/>
            <color indexed="81"/>
            <rFont val="Tahoma"/>
            <family val="2"/>
          </rPr>
          <t>Source CSV row 14; Group 2; 12 weeks.
Sample_ID is a traceability label, not an original animal ID.</t>
        </r>
      </text>
    </comment>
    <comment ref="C28" authorId="0" shapeId="0" xr:uid="{00000000-0006-0000-0000-00000F000000}">
      <text>
        <r>
          <rPr>
            <sz val="8"/>
            <color indexed="81"/>
            <rFont val="Tahoma"/>
            <family val="2"/>
          </rPr>
          <t>Source CSV row 15; Group 2; 12 weeks.
Sample_ID is a traceability label, not an original animal ID.</t>
        </r>
      </text>
    </comment>
    <comment ref="C29" authorId="0" shapeId="0" xr:uid="{00000000-0006-0000-0000-000010000000}">
      <text>
        <r>
          <rPr>
            <sz val="8"/>
            <color indexed="81"/>
            <rFont val="Tahoma"/>
            <family val="2"/>
          </rPr>
          <t>Source CSV row 16; Group 9; 4 weeks.
Sample_ID is a traceability label, not an original animal ID.</t>
        </r>
      </text>
    </comment>
    <comment ref="C30" authorId="0" shapeId="0" xr:uid="{00000000-0006-0000-0000-000011000000}">
      <text>
        <r>
          <rPr>
            <sz val="8"/>
            <color indexed="81"/>
            <rFont val="Tahoma"/>
            <family val="2"/>
          </rPr>
          <t>Source CSV row 17; Group 9; 12 weeks.
Sample_ID is a traceability label, not an original animal ID.</t>
        </r>
      </text>
    </comment>
    <comment ref="C31" authorId="0" shapeId="0" xr:uid="{00000000-0006-0000-0000-000012000000}">
      <text>
        <r>
          <rPr>
            <sz val="8"/>
            <color indexed="81"/>
            <rFont val="Tahoma"/>
            <family val="2"/>
          </rPr>
          <t>Source CSV row 18; Group 9; 12 weeks.
Sample_ID is a traceability label, not an original animal ID.</t>
        </r>
      </text>
    </comment>
    <comment ref="C32" authorId="0" shapeId="0" xr:uid="{00000000-0006-0000-0000-000013000000}">
      <text>
        <r>
          <rPr>
            <sz val="8"/>
            <color indexed="81"/>
            <rFont val="Tahoma"/>
            <family val="2"/>
          </rPr>
          <t>Source CSV row 19; Group 9; 12 weeks.
Sample_ID is a traceability label, not an original animal ID.</t>
        </r>
      </text>
    </comment>
    <comment ref="C33" authorId="0" shapeId="0" xr:uid="{00000000-0006-0000-0000-000014000000}">
      <text>
        <r>
          <rPr>
            <sz val="8"/>
            <color indexed="81"/>
            <rFont val="Tahoma"/>
            <family val="2"/>
          </rPr>
          <t>Source CSV row 20; Group 9; 4 weeks.
Sample_ID is a traceability label, not an original animal ID.</t>
        </r>
      </text>
    </comment>
    <comment ref="C34" authorId="0" shapeId="0" xr:uid="{00000000-0006-0000-0000-000015000000}">
      <text>
        <r>
          <rPr>
            <sz val="8"/>
            <color indexed="81"/>
            <rFont val="Tahoma"/>
            <family val="2"/>
          </rPr>
          <t>Source CSV row 21; Group 9; 4 weeks.
Sample_ID is a traceability label, not an original animal ID.</t>
        </r>
      </text>
    </comment>
    <comment ref="C35" authorId="0" shapeId="0" xr:uid="{00000000-0006-0000-0000-000016000000}">
      <text>
        <r>
          <rPr>
            <sz val="8"/>
            <color indexed="81"/>
            <rFont val="Tahoma"/>
            <family val="2"/>
          </rPr>
          <t>Source CSV row 22; Group 9; 12 weeks.
Sample_ID is a traceability label, not an original animal ID.</t>
        </r>
      </text>
    </comment>
    <comment ref="C36" authorId="0" shapeId="0" xr:uid="{00000000-0006-0000-0000-000017000000}">
      <text>
        <r>
          <rPr>
            <sz val="8"/>
            <color indexed="81"/>
            <rFont val="Tahoma"/>
            <family val="2"/>
          </rPr>
          <t>Source CSV row 23; Group 3; 4 weeks.
Sample_ID is a traceability label, not an original animal ID.</t>
        </r>
      </text>
    </comment>
    <comment ref="C37" authorId="0" shapeId="0" xr:uid="{00000000-0006-0000-0000-000018000000}">
      <text>
        <r>
          <rPr>
            <sz val="8"/>
            <color indexed="81"/>
            <rFont val="Tahoma"/>
            <family val="2"/>
          </rPr>
          <t>Source CSV row 24; Group 3; 4 weeks.
Sample_ID is a traceability label, not an original animal ID.</t>
        </r>
      </text>
    </comment>
    <comment ref="C38" authorId="0" shapeId="0" xr:uid="{00000000-0006-0000-0000-000019000000}">
      <text>
        <r>
          <rPr>
            <sz val="8"/>
            <color indexed="81"/>
            <rFont val="Tahoma"/>
            <family val="2"/>
          </rPr>
          <t>Source CSV row 25; Group 3; 4 weeks.
Sample_ID is a traceability label, not an original animal ID.</t>
        </r>
      </text>
    </comment>
    <comment ref="C39" authorId="0" shapeId="0" xr:uid="{00000000-0006-0000-0000-00001A000000}">
      <text>
        <r>
          <rPr>
            <sz val="8"/>
            <color indexed="81"/>
            <rFont val="Tahoma"/>
            <family val="2"/>
          </rPr>
          <t>Source CSV row 26; Group 3; 12 weeks.
Sample_ID is a traceability label, not an original animal ID.</t>
        </r>
      </text>
    </comment>
    <comment ref="C40" authorId="0" shapeId="0" xr:uid="{00000000-0006-0000-0000-00001B000000}">
      <text>
        <r>
          <rPr>
            <sz val="8"/>
            <color indexed="81"/>
            <rFont val="Tahoma"/>
            <family val="2"/>
          </rPr>
          <t>Source CSV row 27; Group 3; 4 weeks.
Sample_ID is a traceability label, not an original animal ID.</t>
        </r>
      </text>
    </comment>
    <comment ref="C41" authorId="0" shapeId="0" xr:uid="{00000000-0006-0000-0000-00001C000000}">
      <text>
        <r>
          <rPr>
            <sz val="8"/>
            <color indexed="81"/>
            <rFont val="Tahoma"/>
            <family val="2"/>
          </rPr>
          <t>Source CSV row 28; Group 3; 12 weeks.
Sample_ID is a traceability label, not an original animal ID.</t>
        </r>
      </text>
    </comment>
    <comment ref="C42" authorId="0" shapeId="0" xr:uid="{00000000-0006-0000-0000-00001D000000}">
      <text>
        <r>
          <rPr>
            <sz val="8"/>
            <color indexed="81"/>
            <rFont val="Tahoma"/>
            <family val="2"/>
          </rPr>
          <t>Source CSV row 29; Group 5; 4 weeks.
Sample_ID is a traceability label, not an original animal ID.</t>
        </r>
      </text>
    </comment>
    <comment ref="C43" authorId="0" shapeId="0" xr:uid="{00000000-0006-0000-0000-00001E000000}">
      <text>
        <r>
          <rPr>
            <sz val="8"/>
            <color indexed="81"/>
            <rFont val="Tahoma"/>
            <family val="2"/>
          </rPr>
          <t>Source CSV row 33; Group 5; 4 weeks.
Sample_ID is a traceability label, not an original animal ID.</t>
        </r>
      </text>
    </comment>
    <comment ref="C44" authorId="0" shapeId="0" xr:uid="{00000000-0006-0000-0000-00001F000000}">
      <text>
        <r>
          <rPr>
            <sz val="8"/>
            <color indexed="81"/>
            <rFont val="Tahoma"/>
            <family val="2"/>
          </rPr>
          <t>Source CSV row 32; Group 5; 4 weeks.
Sample_ID is a traceability label, not an original animal ID.</t>
        </r>
      </text>
    </comment>
    <comment ref="C45" authorId="0" shapeId="0" xr:uid="{00000000-0006-0000-0000-000020000000}">
      <text>
        <r>
          <rPr>
            <sz val="8"/>
            <color indexed="81"/>
            <rFont val="Tahoma"/>
            <family val="2"/>
          </rPr>
          <t>Source CSV row 30; Group 5; 4 weeks.
Sample_ID is a traceability label, not an original animal ID.</t>
        </r>
      </text>
    </comment>
    <comment ref="C46" authorId="0" shapeId="0" xr:uid="{00000000-0006-0000-0000-000021000000}">
      <text>
        <r>
          <rPr>
            <sz val="8"/>
            <color indexed="81"/>
            <rFont val="Tahoma"/>
            <family val="2"/>
          </rPr>
          <t>Source CSV row 31; Group 5; 4 weeks.
Sample_ID is a traceability label, not an original animal ID.</t>
        </r>
      </text>
    </comment>
    <comment ref="C47" authorId="0" shapeId="0" xr:uid="{00000000-0006-0000-0000-000022000000}">
      <text>
        <r>
          <rPr>
            <sz val="8"/>
            <color indexed="81"/>
            <rFont val="Tahoma"/>
            <family val="2"/>
          </rPr>
          <t>Source CSV row 36; Group 5; 12 weeks.
Sample_ID is a traceability label, not an original animal ID.</t>
        </r>
      </text>
    </comment>
    <comment ref="C48" authorId="0" shapeId="0" xr:uid="{00000000-0006-0000-0000-000023000000}">
      <text>
        <r>
          <rPr>
            <sz val="8"/>
            <color indexed="81"/>
            <rFont val="Tahoma"/>
            <family val="2"/>
          </rPr>
          <t>Source CSV row 34; Group 5; 12 weeks.
Sample_ID is a traceability label, not an original animal ID.</t>
        </r>
      </text>
    </comment>
    <comment ref="C49" authorId="0" shapeId="0" xr:uid="{00000000-0006-0000-0000-000024000000}">
      <text>
        <r>
          <rPr>
            <sz val="8"/>
            <color indexed="81"/>
            <rFont val="Tahoma"/>
            <family val="2"/>
          </rPr>
          <t>Source CSV row 35; Group 5; 12 weeks.
Sample_ID is a traceability label, not an original animal ID.</t>
        </r>
      </text>
    </comment>
    <comment ref="C50" authorId="0" shapeId="0" xr:uid="{00000000-0006-0000-0000-000025000000}">
      <text>
        <r>
          <rPr>
            <sz val="8"/>
            <color indexed="81"/>
            <rFont val="Tahoma"/>
            <family val="2"/>
          </rPr>
          <t>Source CSV row 37; Group 5; 12 weeks.
Sample_ID is a traceability label, not an original animal ID.</t>
        </r>
      </text>
    </comment>
    <comment ref="C51" authorId="0" shapeId="0" xr:uid="{00000000-0006-0000-0000-000026000000}">
      <text>
        <r>
          <rPr>
            <sz val="8"/>
            <color indexed="81"/>
            <rFont val="Tahoma"/>
            <family val="2"/>
          </rPr>
          <t>Source CSV row 38; Group 5; 12 weeks.
Sample_ID is a traceability label, not an original animal ID.</t>
        </r>
      </text>
    </comment>
    <comment ref="C52" authorId="0" shapeId="0" xr:uid="{00000000-0006-0000-0000-000027000000}">
      <text>
        <r>
          <rPr>
            <sz val="8"/>
            <color indexed="81"/>
            <rFont val="Tahoma"/>
            <family val="2"/>
          </rPr>
          <t>Source CSV row 39; Group 9; 12 weeks.
Sample_ID is a traceability label, not an original animal ID.</t>
        </r>
      </text>
    </comment>
    <comment ref="C53" authorId="0" shapeId="0" xr:uid="{00000000-0006-0000-0000-000028000000}">
      <text>
        <r>
          <rPr>
            <sz val="8"/>
            <color indexed="81"/>
            <rFont val="Tahoma"/>
            <family val="2"/>
          </rPr>
          <t>Source CSV row 40; Group 9; 4 weeks.
Sample_ID is a traceability label, not an original animal ID.</t>
        </r>
      </text>
    </comment>
    <comment ref="C54" authorId="0" shapeId="0" xr:uid="{00000000-0006-0000-0000-000029000000}">
      <text>
        <r>
          <rPr>
            <sz val="8"/>
            <color indexed="81"/>
            <rFont val="Tahoma"/>
            <family val="2"/>
          </rPr>
          <t>Source CSV row 41; Group 9; 4 weeks.
Sample_ID is a traceability label, not an original animal ID.</t>
        </r>
      </text>
    </comment>
    <comment ref="C55" authorId="0" shapeId="0" xr:uid="{00000000-0006-0000-0000-00002A000000}">
      <text>
        <r>
          <rPr>
            <sz val="8"/>
            <color indexed="81"/>
            <rFont val="Tahoma"/>
            <family val="2"/>
          </rPr>
          <t>Source CSV row 42; Group 6; 12 weeks.
Sample_ID is a traceability label, not an original animal ID.</t>
        </r>
      </text>
    </comment>
    <comment ref="C56" authorId="0" shapeId="0" xr:uid="{00000000-0006-0000-0000-00002B000000}">
      <text>
        <r>
          <rPr>
            <sz val="8"/>
            <color indexed="81"/>
            <rFont val="Tahoma"/>
            <family val="2"/>
          </rPr>
          <t>Source CSV row 43; Group 6; 12 weeks.
Sample_ID is a traceability label, not an original animal ID.</t>
        </r>
      </text>
    </comment>
    <comment ref="C57" authorId="0" shapeId="0" xr:uid="{00000000-0006-0000-0000-00002C000000}">
      <text>
        <r>
          <rPr>
            <sz val="8"/>
            <color indexed="81"/>
            <rFont val="Tahoma"/>
            <family val="2"/>
          </rPr>
          <t>Source CSV row 44; Group 6; 12 weeks.
Sample_ID is a traceability label, not an original animal ID.</t>
        </r>
      </text>
    </comment>
    <comment ref="C58" authorId="0" shapeId="0" xr:uid="{00000000-0006-0000-0000-00002D000000}">
      <text>
        <r>
          <rPr>
            <sz val="8"/>
            <color indexed="81"/>
            <rFont val="Tahoma"/>
            <family val="2"/>
          </rPr>
          <t>Source CSV row 45; Group 6; 12 weeks.
Sample_ID is a traceability label, not an original animal ID.</t>
        </r>
      </text>
    </comment>
    <comment ref="C59" authorId="0" shapeId="0" xr:uid="{00000000-0006-0000-0000-00002E000000}">
      <text>
        <r>
          <rPr>
            <sz val="8"/>
            <color indexed="81"/>
            <rFont val="Tahoma"/>
            <family val="2"/>
          </rPr>
          <t>Source CSV row 46; Group 6; 12 weeks.
Sample_ID is a traceability label, not an original animal ID.</t>
        </r>
      </text>
    </comment>
    <comment ref="C60" authorId="0" shapeId="0" xr:uid="{00000000-0006-0000-0000-00002F000000}">
      <text>
        <r>
          <rPr>
            <sz val="8"/>
            <color indexed="81"/>
            <rFont val="Tahoma"/>
            <family val="2"/>
          </rPr>
          <t>Source CSV row 47; Group 3; 12 weeks.
Sample_ID is a traceability label, not an original animal ID.</t>
        </r>
      </text>
    </comment>
    <comment ref="C61" authorId="0" shapeId="0" xr:uid="{00000000-0006-0000-0000-000030000000}">
      <text>
        <r>
          <rPr>
            <sz val="8"/>
            <color indexed="81"/>
            <rFont val="Tahoma"/>
            <family val="2"/>
          </rPr>
          <t>Source CSV row 48; Group 3; 12 weeks.
Sample_ID is a traceability label, not an original animal ID.</t>
        </r>
      </text>
    </comment>
    <comment ref="C62" authorId="0" shapeId="0" xr:uid="{00000000-0006-0000-0000-000031000000}">
      <text>
        <r>
          <rPr>
            <sz val="8"/>
            <color indexed="81"/>
            <rFont val="Tahoma"/>
            <family val="2"/>
          </rPr>
          <t>Source CSV row 49; Group 7; 12 weeks.
Sample_ID is a traceability label, not an original animal ID.</t>
        </r>
      </text>
    </comment>
    <comment ref="C63" authorId="0" shapeId="0" xr:uid="{00000000-0006-0000-0000-000032000000}">
      <text>
        <r>
          <rPr>
            <sz val="8"/>
            <color indexed="81"/>
            <rFont val="Tahoma"/>
            <family val="2"/>
          </rPr>
          <t>Source CSV row 50; Group 8; 12 weeks.
Sample_ID is a traceability label, not an original animal ID.</t>
        </r>
      </text>
    </comment>
    <comment ref="C64" authorId="0" shapeId="0" xr:uid="{00000000-0006-0000-0000-000033000000}">
      <text>
        <r>
          <rPr>
            <sz val="8"/>
            <color indexed="81"/>
            <rFont val="Tahoma"/>
            <family val="2"/>
          </rPr>
          <t>Source CSV row 51; Group 8; 4 weeks.
Sample_ID is a traceability label, not an original animal ID.</t>
        </r>
      </text>
    </comment>
    <comment ref="C65" authorId="0" shapeId="0" xr:uid="{00000000-0006-0000-0000-000034000000}">
      <text>
        <r>
          <rPr>
            <sz val="8"/>
            <color indexed="81"/>
            <rFont val="Tahoma"/>
            <family val="2"/>
          </rPr>
          <t>Source CSV row 52; Group 7; 12 weeks.
Sample_ID is a traceability label, not an original animal ID.</t>
        </r>
      </text>
    </comment>
    <comment ref="C66" authorId="0" shapeId="0" xr:uid="{00000000-0006-0000-0000-000035000000}">
      <text>
        <r>
          <rPr>
            <sz val="8"/>
            <color indexed="81"/>
            <rFont val="Tahoma"/>
            <family val="2"/>
          </rPr>
          <t>Source CSV row 53; Group 4; 4 weeks.
Sample_ID is a traceability label, not an original animal ID.</t>
        </r>
      </text>
    </comment>
    <comment ref="C67" authorId="0" shapeId="0" xr:uid="{00000000-0006-0000-0000-000036000000}">
      <text>
        <r>
          <rPr>
            <sz val="8"/>
            <color indexed="81"/>
            <rFont val="Tahoma"/>
            <family val="2"/>
          </rPr>
          <t>Source CSV row 54; Group 4; 12 weeks.
Sample_ID is a traceability label, not an original animal ID.</t>
        </r>
      </text>
    </comment>
    <comment ref="C68" authorId="0" shapeId="0" xr:uid="{00000000-0006-0000-0000-000037000000}">
      <text>
        <r>
          <rPr>
            <sz val="8"/>
            <color indexed="81"/>
            <rFont val="Tahoma"/>
            <family val="2"/>
          </rPr>
          <t>Source CSV row 55; Group 10; 4 weeks.
Sample_ID is a traceability label, not an original animal ID.</t>
        </r>
      </text>
    </comment>
    <comment ref="C69" authorId="0" shapeId="0" xr:uid="{00000000-0006-0000-0000-000038000000}">
      <text>
        <r>
          <rPr>
            <sz val="8"/>
            <color indexed="81"/>
            <rFont val="Tahoma"/>
            <family val="2"/>
          </rPr>
          <t>Source CSV row 56; Group 10; 4 weeks.
Sample_ID is a traceability label, not an original animal ID.</t>
        </r>
      </text>
    </comment>
    <comment ref="C70" authorId="0" shapeId="0" xr:uid="{00000000-0006-0000-0000-000039000000}">
      <text>
        <r>
          <rPr>
            <sz val="8"/>
            <color indexed="81"/>
            <rFont val="Tahoma"/>
            <family val="2"/>
          </rPr>
          <t>Source CSV row 57; Group 10; 12 weeks.
Sample_ID is a traceability label, not an original animal ID.</t>
        </r>
      </text>
    </comment>
    <comment ref="C71" authorId="0" shapeId="0" xr:uid="{00000000-0006-0000-0000-00003A000000}">
      <text>
        <r>
          <rPr>
            <sz val="8"/>
            <color indexed="81"/>
            <rFont val="Tahoma"/>
            <family val="2"/>
          </rPr>
          <t>Source CSV row 58; Group 3; 4 weeks.
Sample_ID is a traceability label, not an original animal ID.</t>
        </r>
      </text>
    </comment>
    <comment ref="C72" authorId="0" shapeId="0" xr:uid="{00000000-0006-0000-0000-00003B000000}">
      <text>
        <r>
          <rPr>
            <sz val="8"/>
            <color indexed="81"/>
            <rFont val="Tahoma"/>
            <family val="2"/>
          </rPr>
          <t>Source CSV row 59; Group 3; 12 weeks.
Sample_ID is a traceability label, not an original animal ID.</t>
        </r>
      </text>
    </comment>
    <comment ref="C73" authorId="0" shapeId="0" xr:uid="{00000000-0006-0000-0000-00003C000000}">
      <text>
        <r>
          <rPr>
            <sz val="8"/>
            <color indexed="81"/>
            <rFont val="Tahoma"/>
            <family val="2"/>
          </rPr>
          <t>Source CSV row 60; Group 7; 4 weeks.
Sample_ID is a traceability label, not an original animal ID.</t>
        </r>
      </text>
    </comment>
    <comment ref="C74" authorId="0" shapeId="0" xr:uid="{00000000-0006-0000-0000-00003D000000}">
      <text>
        <r>
          <rPr>
            <sz val="8"/>
            <color indexed="81"/>
            <rFont val="Tahoma"/>
            <family val="2"/>
          </rPr>
          <t>Source CSV row 61; Group 7; 12 weeks.
Sample_ID is a traceability label, not an original animal ID.</t>
        </r>
      </text>
    </comment>
    <comment ref="C75" authorId="0" shapeId="0" xr:uid="{00000000-0006-0000-0000-00003E000000}">
      <text>
        <r>
          <rPr>
            <sz val="8"/>
            <color indexed="81"/>
            <rFont val="Tahoma"/>
            <family val="2"/>
          </rPr>
          <t>Source CSV row 62; Group 8; 4 weeks.
Sample_ID is a traceability label, not an original animal ID.</t>
        </r>
      </text>
    </comment>
    <comment ref="C76" authorId="0" shapeId="0" xr:uid="{00000000-0006-0000-0000-00003F000000}">
      <text>
        <r>
          <rPr>
            <sz val="8"/>
            <color indexed="81"/>
            <rFont val="Tahoma"/>
            <family val="2"/>
          </rPr>
          <t>Source CSV row 63; Group 8; 4 weeks.
Sample_ID is a traceability label, not an original animal ID.</t>
        </r>
      </text>
    </comment>
    <comment ref="C77" authorId="0" shapeId="0" xr:uid="{00000000-0006-0000-0000-000040000000}">
      <text>
        <r>
          <rPr>
            <sz val="8"/>
            <color indexed="81"/>
            <rFont val="Tahoma"/>
            <family val="2"/>
          </rPr>
          <t>Source CSV row 64; Group 8; 4 weeks.
Sample_ID is a traceability label, not an original animal ID.</t>
        </r>
      </text>
    </comment>
    <comment ref="C78" authorId="0" shapeId="0" xr:uid="{00000000-0006-0000-0000-000041000000}">
      <text>
        <r>
          <rPr>
            <sz val="8"/>
            <color indexed="81"/>
            <rFont val="Tahoma"/>
            <family val="2"/>
          </rPr>
          <t>Source CSV row 65; Group 8; 12 weeks.
Sample_ID is a traceability label, not an original animal ID.</t>
        </r>
      </text>
    </comment>
    <comment ref="C79" authorId="0" shapeId="0" xr:uid="{00000000-0006-0000-0000-000042000000}">
      <text>
        <r>
          <rPr>
            <sz val="8"/>
            <color indexed="81"/>
            <rFont val="Tahoma"/>
            <family val="2"/>
          </rPr>
          <t>Source CSV row 66; Group 8; 12 weeks.
Sample_ID is a traceability label, not an original animal ID.</t>
        </r>
      </text>
    </comment>
    <comment ref="C80" authorId="0" shapeId="0" xr:uid="{00000000-0006-0000-0000-000043000000}">
      <text>
        <r>
          <rPr>
            <sz val="8"/>
            <color indexed="81"/>
            <rFont val="Tahoma"/>
            <family val="2"/>
          </rPr>
          <t>Source CSV row 67; Group 8; 4 weeks.
Sample_ID is a traceability label, not an original animal ID.</t>
        </r>
      </text>
    </comment>
    <comment ref="C81" authorId="0" shapeId="0" xr:uid="{00000000-0006-0000-0000-000044000000}">
      <text>
        <r>
          <rPr>
            <sz val="8"/>
            <color indexed="81"/>
            <rFont val="Tahoma"/>
            <family val="2"/>
          </rPr>
          <t>Source CSV row 68; Group 8; 12 weeks.
Sample_ID is a traceability label, not an original animal ID.</t>
        </r>
      </text>
    </comment>
    <comment ref="C82" authorId="0" shapeId="0" xr:uid="{00000000-0006-0000-0000-000045000000}">
      <text>
        <r>
          <rPr>
            <sz val="8"/>
            <color indexed="81"/>
            <rFont val="Tahoma"/>
            <family val="2"/>
          </rPr>
          <t>Source CSV row 69; Group 8; 12 weeks.
Sample_ID is a traceability label, not an original animal ID.</t>
        </r>
      </text>
    </comment>
    <comment ref="C83" authorId="0" shapeId="0" xr:uid="{00000000-0006-0000-0000-000046000000}">
      <text>
        <r>
          <rPr>
            <sz val="8"/>
            <color indexed="81"/>
            <rFont val="Tahoma"/>
            <family val="2"/>
          </rPr>
          <t>Source CSV row 70; Group 7; 4 weeks.
Sample_ID is a traceability label, not an original animal ID.</t>
        </r>
      </text>
    </comment>
    <comment ref="C84" authorId="0" shapeId="0" xr:uid="{00000000-0006-0000-0000-000047000000}">
      <text>
        <r>
          <rPr>
            <sz val="8"/>
            <color indexed="81"/>
            <rFont val="Tahoma"/>
            <family val="2"/>
          </rPr>
          <t>Source CSV row 71; Group 7; 12 weeks.
Sample_ID is a traceability label, not an original animal ID.</t>
        </r>
      </text>
    </comment>
    <comment ref="C85" authorId="0" shapeId="0" xr:uid="{00000000-0006-0000-0000-000048000000}">
      <text>
        <r>
          <rPr>
            <sz val="8"/>
            <color indexed="81"/>
            <rFont val="Tahoma"/>
            <family val="2"/>
          </rPr>
          <t>Source CSV row 72; Group 7; 4 weeks.
Sample_ID is a traceability label, not an original animal ID.</t>
        </r>
      </text>
    </comment>
    <comment ref="C86" authorId="0" shapeId="0" xr:uid="{00000000-0006-0000-0000-000049000000}">
      <text>
        <r>
          <rPr>
            <sz val="8"/>
            <color indexed="81"/>
            <rFont val="Tahoma"/>
            <family val="2"/>
          </rPr>
          <t>Source CSV row 73; Group 7; 12 weeks.
Sample_ID is a traceability label, not an original animal ID.</t>
        </r>
      </text>
    </comment>
    <comment ref="C87" authorId="0" shapeId="0" xr:uid="{00000000-0006-0000-0000-00004A000000}">
      <text>
        <r>
          <rPr>
            <sz val="8"/>
            <color indexed="81"/>
            <rFont val="Tahoma"/>
            <family val="2"/>
          </rPr>
          <t>Source CSV row 74; Group 7; 4 weeks.
Sample_ID is a traceability label, not an original animal ID.</t>
        </r>
      </text>
    </comment>
    <comment ref="C88" authorId="0" shapeId="0" xr:uid="{00000000-0006-0000-0000-00004B000000}">
      <text>
        <r>
          <rPr>
            <sz val="8"/>
            <color indexed="81"/>
            <rFont val="Tahoma"/>
            <family val="2"/>
          </rPr>
          <t>Source CSV row 75; Group 7; 4 weeks.
Sample_ID is a traceability label, not an original animal ID.</t>
        </r>
      </text>
    </comment>
    <comment ref="C89" authorId="0" shapeId="0" xr:uid="{00000000-0006-0000-0000-00004C000000}">
      <text>
        <r>
          <rPr>
            <sz val="8"/>
            <color indexed="81"/>
            <rFont val="Tahoma"/>
            <family val="2"/>
          </rPr>
          <t>Source CSV row 76; Group 10; 12 weeks.
Sample_ID is a traceability label, not an original animal ID.</t>
        </r>
      </text>
    </comment>
    <comment ref="C90" authorId="0" shapeId="0" xr:uid="{00000000-0006-0000-0000-00004D000000}">
      <text>
        <r>
          <rPr>
            <sz val="8"/>
            <color indexed="81"/>
            <rFont val="Tahoma"/>
            <family val="2"/>
          </rPr>
          <t>Source CSV row 77; Group 10; 12 weeks.
Sample_ID is a traceability label, not an original animal ID.</t>
        </r>
      </text>
    </comment>
    <comment ref="C91" authorId="0" shapeId="0" xr:uid="{00000000-0006-0000-0000-00004E000000}">
      <text>
        <r>
          <rPr>
            <sz val="8"/>
            <color indexed="81"/>
            <rFont val="Tahoma"/>
            <family val="2"/>
          </rPr>
          <t>Source CSV row 78; Group 10; 12 weeks.
Sample_ID is a traceability label, not an original animal ID.</t>
        </r>
      </text>
    </comment>
    <comment ref="C92" authorId="0" shapeId="0" xr:uid="{00000000-0006-0000-0000-00004F000000}">
      <text>
        <r>
          <rPr>
            <sz val="8"/>
            <color indexed="81"/>
            <rFont val="Tahoma"/>
            <family val="2"/>
          </rPr>
          <t>Source CSV row 79; Group 10; 4 weeks.
Sample_ID is a traceability label, not an original animal ID.</t>
        </r>
      </text>
    </comment>
    <comment ref="C93" authorId="0" shapeId="0" xr:uid="{00000000-0006-0000-0000-000050000000}">
      <text>
        <r>
          <rPr>
            <sz val="8"/>
            <color indexed="81"/>
            <rFont val="Tahoma"/>
            <family val="2"/>
          </rPr>
          <t>Source CSV row 80; Group 10; 4 weeks.
Sample_ID is a traceability label, not an original animal ID.</t>
        </r>
      </text>
    </comment>
    <comment ref="C94" authorId="0" shapeId="0" xr:uid="{00000000-0006-0000-0000-000051000000}">
      <text>
        <r>
          <rPr>
            <sz val="8"/>
            <color indexed="81"/>
            <rFont val="Tahoma"/>
            <family val="2"/>
          </rPr>
          <t>Source CSV row 81; Group 10; 4 weeks.
Sample_ID is a traceability label, not an original animal ID.</t>
        </r>
      </text>
    </comment>
    <comment ref="C95" authorId="0" shapeId="0" xr:uid="{00000000-0006-0000-0000-000052000000}">
      <text>
        <r>
          <rPr>
            <sz val="8"/>
            <color indexed="81"/>
            <rFont val="Tahoma"/>
            <family val="2"/>
          </rPr>
          <t>Source CSV row 82; Group 10; 12 weeks.
Sample_ID is a traceability label, not an original animal ID.</t>
        </r>
      </text>
    </comment>
    <comment ref="C96" authorId="0" shapeId="0" xr:uid="{00000000-0006-0000-0000-000053000000}">
      <text>
        <r>
          <rPr>
            <sz val="8"/>
            <color indexed="81"/>
            <rFont val="Tahoma"/>
            <family val="2"/>
          </rPr>
          <t>Source CSV row 83; Group 4; 4 weeks.
Sample_ID is a traceability label, not an original animal ID.</t>
        </r>
      </text>
    </comment>
    <comment ref="C97" authorId="0" shapeId="0" xr:uid="{00000000-0006-0000-0000-000054000000}">
      <text>
        <r>
          <rPr>
            <sz val="8"/>
            <color indexed="81"/>
            <rFont val="Tahoma"/>
            <family val="2"/>
          </rPr>
          <t>Source CSV row 84; Group 4; 4 weeks.
Sample_ID is a traceability label, not an original animal ID.</t>
        </r>
      </text>
    </comment>
    <comment ref="C98" authorId="0" shapeId="0" xr:uid="{00000000-0006-0000-0000-000055000000}">
      <text>
        <r>
          <rPr>
            <sz val="8"/>
            <color indexed="81"/>
            <rFont val="Tahoma"/>
            <family val="2"/>
          </rPr>
          <t>Source CSV row 85; Group 4; 4 weeks.
Sample_ID is a traceability label, not an original animal ID.</t>
        </r>
      </text>
    </comment>
    <comment ref="C99" authorId="0" shapeId="0" xr:uid="{00000000-0006-0000-0000-000056000000}">
      <text>
        <r>
          <rPr>
            <sz val="8"/>
            <color indexed="81"/>
            <rFont val="Tahoma"/>
            <family val="2"/>
          </rPr>
          <t>Source CSV row 86; Group 4; 12 weeks.
Sample_ID is a traceability label, not an original animal ID.</t>
        </r>
      </text>
    </comment>
    <comment ref="C100" authorId="0" shapeId="0" xr:uid="{00000000-0006-0000-0000-000057000000}">
      <text>
        <r>
          <rPr>
            <sz val="8"/>
            <color indexed="81"/>
            <rFont val="Tahoma"/>
            <family val="2"/>
          </rPr>
          <t>Source CSV row 87; Group 4; 12 weeks.
Sample_ID is a traceability label, not an original animal ID.</t>
        </r>
      </text>
    </comment>
    <comment ref="C101" authorId="0" shapeId="0" xr:uid="{00000000-0006-0000-0000-000058000000}">
      <text>
        <r>
          <rPr>
            <sz val="8"/>
            <color indexed="81"/>
            <rFont val="Tahoma"/>
            <family val="2"/>
          </rPr>
          <t>Source CSV row 88; Group 4; 12 weeks.
Sample_ID is a traceability label, not an original animal ID.</t>
        </r>
      </text>
    </comment>
    <comment ref="C102" authorId="0" shapeId="0" xr:uid="{00000000-0006-0000-0000-000059000000}">
      <text>
        <r>
          <rPr>
            <sz val="8"/>
            <color indexed="81"/>
            <rFont val="Tahoma"/>
            <family val="2"/>
          </rPr>
          <t>Source CSV row 89; Group 4; 4 weeks.
Sample_ID is a traceability label, not an original animal ID.</t>
        </r>
      </text>
    </comment>
    <comment ref="C103" authorId="0" shapeId="0" xr:uid="{00000000-0006-0000-0000-00005A000000}">
      <text>
        <r>
          <rPr>
            <sz val="8"/>
            <color indexed="81"/>
            <rFont val="Tahoma"/>
            <family val="2"/>
          </rPr>
          <t>Source CSV row 90; Group 4; 12 weeks.
Sample_ID is a traceability label, not an original animal ID.</t>
        </r>
      </text>
    </comment>
    <comment ref="C104" authorId="0" shapeId="0" xr:uid="{00000000-0006-0000-0000-00005B000000}">
      <text>
        <r>
          <rPr>
            <sz val="8"/>
            <color indexed="81"/>
            <rFont val="Tahoma"/>
            <family val="2"/>
          </rPr>
          <t>Source CSV row 91; Group 1; 4 weeks.
Sample_ID is a traceability label, not an original animal ID.</t>
        </r>
      </text>
    </comment>
    <comment ref="C105" authorId="0" shapeId="0" xr:uid="{00000000-0006-0000-0000-00005C000000}">
      <text>
        <r>
          <rPr>
            <sz val="8"/>
            <color indexed="81"/>
            <rFont val="Tahoma"/>
            <family val="2"/>
          </rPr>
          <t>Source CSV row 92; Group 1; 12 weeks.
Sample_ID is a traceability label, not an original animal ID.</t>
        </r>
      </text>
    </comment>
    <comment ref="C106" authorId="0" shapeId="0" xr:uid="{00000000-0006-0000-0000-00005D000000}">
      <text>
        <r>
          <rPr>
            <sz val="8"/>
            <color indexed="81"/>
            <rFont val="Tahoma"/>
            <family val="2"/>
          </rPr>
          <t>Source CSV row 97; Group 1; 12 weeks.
Sample_ID is a traceability label, not an original animal ID.</t>
        </r>
      </text>
    </comment>
    <comment ref="C107" authorId="0" shapeId="0" xr:uid="{00000000-0006-0000-0000-00005E000000}">
      <text>
        <r>
          <rPr>
            <sz val="8"/>
            <color indexed="81"/>
            <rFont val="Tahoma"/>
            <family val="2"/>
          </rPr>
          <t>Source CSV row 98; Group 1; 12 weeks.
Sample_ID is a traceability label, not an original animal ID.</t>
        </r>
      </text>
    </comment>
    <comment ref="C108" authorId="0" shapeId="0" xr:uid="{00000000-0006-0000-0000-00005F000000}">
      <text>
        <r>
          <rPr>
            <sz val="8"/>
            <color indexed="81"/>
            <rFont val="Tahoma"/>
            <family val="2"/>
          </rPr>
          <t>Source CSV row 99; Group 1; 12 weeks.
Sample_ID is a traceability label, not an original animal ID.</t>
        </r>
      </text>
    </comment>
    <comment ref="C109" authorId="0" shapeId="0" xr:uid="{00000000-0006-0000-0000-000060000000}">
      <text>
        <r>
          <rPr>
            <sz val="8"/>
            <color indexed="81"/>
            <rFont val="Tahoma"/>
            <family val="2"/>
          </rPr>
          <t>Source CSV row 100; Group 1; 12 weeks.
Sample_ID is a traceability label, not an original animal ID.</t>
        </r>
      </text>
    </comment>
    <comment ref="C110" authorId="0" shapeId="0" xr:uid="{00000000-0006-0000-0000-000061000000}">
      <text>
        <r>
          <rPr>
            <sz val="8"/>
            <color indexed="81"/>
            <rFont val="Tahoma"/>
            <family val="2"/>
          </rPr>
          <t>Source CSV row 94; Group 1; 4 weeks.
Sample_ID is a traceability label, not an original animal ID.</t>
        </r>
      </text>
    </comment>
    <comment ref="C111" authorId="0" shapeId="0" xr:uid="{00000000-0006-0000-0000-000062000000}">
      <text>
        <r>
          <rPr>
            <sz val="8"/>
            <color indexed="81"/>
            <rFont val="Tahoma"/>
            <family val="2"/>
          </rPr>
          <t>Source CSV row 93; Group 1; 4 weeks.
Sample_ID is a traceability label, not an original animal ID.</t>
        </r>
      </text>
    </comment>
    <comment ref="C112" authorId="0" shapeId="0" xr:uid="{00000000-0006-0000-0000-000063000000}">
      <text>
        <r>
          <rPr>
            <sz val="8"/>
            <color indexed="81"/>
            <rFont val="Tahoma"/>
            <family val="2"/>
          </rPr>
          <t>Source CSV row 95; Group 1; 4 weeks.
Sample_ID is a traceability label, not an original animal ID.</t>
        </r>
      </text>
    </comment>
    <comment ref="C113" authorId="0" shapeId="0" xr:uid="{00000000-0006-0000-0000-000064000000}">
      <text>
        <r>
          <rPr>
            <sz val="8"/>
            <color indexed="81"/>
            <rFont val="Tahoma"/>
            <family val="2"/>
          </rPr>
          <t>Source CSV row 96; Group 1; 4 weeks.
Sample_ID is a traceability label, not an original animal ID.</t>
        </r>
      </text>
    </comment>
  </commentList>
</comments>
</file>

<file path=xl/sharedStrings.xml><?xml version="1.0" encoding="utf-8"?>
<sst xmlns="http://schemas.openxmlformats.org/spreadsheetml/2006/main" count="402" uniqueCount="251">
  <si>
    <t>PHENOTYPIC ATLAS  /  UNSUPERVISED ANALYSIS</t>
  </si>
  <si>
    <t>Global phenotypic landscape</t>
  </si>
  <si>
    <t>Nicotine withdrawal &amp; recovery</t>
  </si>
  <si>
    <t>Combined 4- and 12-week cohorts  |  Hierarchical clustering</t>
  </si>
  <si>
    <t>Ward linkage · Euclidean distance · 100 observations · 6 features</t>
  </si>
  <si>
    <t>Data &amp; methods →</t>
  </si>
  <si>
    <t>100 observations</t>
  </si>
  <si>
    <t>6 standardized features</t>
  </si>
  <si>
    <t>10 groups · 2 durations</t>
  </si>
  <si>
    <t>Sample dendrogram</t>
  </si>
  <si>
    <t>ID</t>
  </si>
  <si>
    <t>G</t>
  </si>
  <si>
    <t>W</t>
  </si>
  <si>
    <t>IL-6</t>
  </si>
  <si>
    <t>iNOS</t>
  </si>
  <si>
    <t>BDNF_SUP</t>
  </si>
  <si>
    <t>Nrf-2</t>
  </si>
  <si>
    <t>hypalg_aft</t>
  </si>
  <si>
    <t>hypalg_rel</t>
  </si>
  <si>
    <t>DATA &amp; METHODS  |  all content on this worksheet</t>
  </si>
  <si>
    <t>One figure; 100 observations pooled across both durations. No K-means or prespecified cluster cut.</t>
  </si>
  <si>
    <t>← Return to figure</t>
  </si>
  <si>
    <t>Method notes ↓</t>
  </si>
  <si>
    <t>The supplied CSV already contains standardized feature values, not original assay-unit measurements. All 8 supplied columns are preserved below. Source_row and Sample_ID are added traceability fields.</t>
  </si>
  <si>
    <t>NATIVE EDITABILITY: The heatmap is conditional-formatted Excel cells. Both trees are Excel XY line charts, linked to the branch-coordinate tables. There are no embedded figure images.</t>
  </si>
  <si>
    <t>IMPORTANT: The linkage and leaf order are computed results for this CSV. Editing source values updates the heatmap, NOT the Ward clustering. Recompute the linkage and leaf order for changed data.</t>
  </si>
  <si>
    <t>Figure canvas A1:M127 is 900 × 1600 px (9:16). The print area contains only the figure. Excel PDF export preserves chart lines and text as vectors; cells remain crisp at publication scale.</t>
  </si>
  <si>
    <t>Source data ↓</t>
  </si>
  <si>
    <t>Linkage tables ↓</t>
  </si>
  <si>
    <t>01  |  SOURCE DATA — original CSV order</t>
  </si>
  <si>
    <t>02  |  ORDERED HEATMAP — links to source data</t>
  </si>
  <si>
    <t>03  |  SAMPLE LINKAGE — 99 Ward merges</t>
  </si>
  <si>
    <t>04  |  SAMPLE TREE COORDINATES</t>
  </si>
  <si>
    <t>05  |  FEATURE TREE COORDINATES</t>
  </si>
  <si>
    <t>Source_row</t>
  </si>
  <si>
    <t>Sample_ID</t>
  </si>
  <si>
    <t>Group_ID</t>
  </si>
  <si>
    <t>Study_Duration</t>
  </si>
  <si>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</si>
  <si>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</si>
  <si>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</si>
  <si>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</si>
  <si>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</si>
  <si>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</si>
  <si>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</si>
  <si>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</si>
  <si>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</si>
  <si>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</si>
  <si>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</si>
  <si>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</si>
  <si>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</si>
  <si>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</si>
  <si>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</si>
  <si>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</si>
  <si>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</si>
  <si>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</si>
  <si>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</si>
  <si>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</si>
  <si>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</si>
  <si>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</si>
  <si>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</si>
  <si>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</si>
  <si>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</si>
  <si>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</si>
  <si>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</si>
  <si>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</si>
  <si>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</si>
  <si>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</si>
  <si>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</si>
  <si>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</si>
  <si>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</si>
  <si>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</si>
  <si>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</si>
  <si>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</si>
  <si>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</si>
  <si>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</si>
  <si>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</si>
  <si>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</si>
  <si>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</si>
  <si>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</si>
  <si>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</si>
  <si>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</si>
  <si>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</si>
  <si>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</si>
  <si>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</si>
  <si>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</si>
  <si>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</si>
  <si>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</si>
  <si>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</si>
  <si>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</si>
  <si>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</si>
  <si>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</si>
  <si>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</si>
  <si>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</si>
  <si>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</si>
  <si>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</si>
  <si>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</si>
  <si>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</si>
  <si>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</si>
  <si>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</si>
  <si>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</si>
  <si>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</si>
  <si>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</si>
  <si>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</si>
  <si>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</si>
  <si>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</si>
  <si>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</si>
  <si>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</si>
  <si>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</si>
  <si>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</si>
  <si>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</si>
  <si>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</si>
  <si>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</si>
  <si>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</si>
  <si>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</si>
  <si>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</si>
  <si>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</si>
  <si>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</si>
  <si>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</si>
  <si>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</si>
  <si>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</si>
  <si>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</si>
  <si>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</si>
  <si>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</si>
  <si>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</si>
  <si>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</si>
  <si>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</si>
  <si>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</si>
  <si>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</si>
  <si>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</si>
  <si>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</si>
  <si>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</si>
  <si>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</si>
  <si>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</si>
  <si>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</si>
  <si>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</si>
  <si>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</si>
  <si>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</si>
  <si>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Leaf_position</t>
  </si>
  <si>
    <t>Y_center</t>
  </si>
  <si>
    <t>06  |  FEATURE ORDER — clustering uses all 100 rows</t>
  </si>
  <si>
    <t>Feature_node</t>
  </si>
  <si>
    <t>Feature</t>
  </si>
  <si>
    <t>X_center</t>
  </si>
  <si>
    <t>Merge_step</t>
  </si>
  <si>
    <t>Node_ID</t>
  </si>
  <si>
    <t>Left_node</t>
  </si>
  <si>
    <t>Right_node</t>
  </si>
  <si>
    <t>Ward_height</t>
  </si>
  <si>
    <t>Leaf_count</t>
  </si>
  <si>
    <t>Left_center</t>
  </si>
  <si>
    <t>Right_center</t>
  </si>
  <si>
    <t>Node_center</t>
  </si>
  <si>
    <t>Left_height</t>
  </si>
  <si>
    <t>Right_height</t>
  </si>
  <si>
    <t>07  |  FEATURE LINKAGE — 5 Ward merges</t>
  </si>
  <si>
    <t>Point</t>
  </si>
  <si>
    <t>X</t>
  </si>
  <si>
    <t>Y</t>
  </si>
  <si>
    <t>gap</t>
  </si>
  <si>
    <t>STANDARDIZED SIGNAL</t>
  </si>
  <si>
    <t>Lower ←  Z-score  → Higher</t>
  </si>
  <si>
    <t>Blue / neutral / amber</t>
  </si>
  <si>
    <t>≤ −2</t>
  </si>
  <si>
    <t>−1</t>
  </si>
  <si>
    <t>0</t>
  </si>
  <si>
    <t>+1</t>
  </si>
  <si>
    <t>≥ +2</t>
  </si>
  <si>
    <t>Clipped at ±2</t>
  </si>
  <si>
    <t>ANNOTATIONS  |  Group and duration are labels, not clustering inputs</t>
  </si>
  <si>
    <t>G  /  Experimental group</t>
  </si>
  <si>
    <t>Group 1</t>
  </si>
  <si>
    <t>Group 2</t>
  </si>
  <si>
    <t>Group 3</t>
  </si>
  <si>
    <t>Group 4</t>
  </si>
  <si>
    <t>Group 5</t>
  </si>
  <si>
    <t>Group 6</t>
  </si>
  <si>
    <t>Group 7</t>
  </si>
  <si>
    <t>Group 8</t>
  </si>
  <si>
    <t>Group 9</t>
  </si>
  <si>
    <t>Group 10</t>
  </si>
  <si>
    <t>W  /  Study duration</t>
  </si>
  <si>
    <t>4 weeks  ·  n = 50</t>
  </si>
  <si>
    <t>12 weeks  ·  n = 50</t>
  </si>
  <si>
    <t>10 observations / group</t>
  </si>
  <si>
    <t>Ward merge heights determine branch length; no cluster cut or causal inference is implied.</t>
  </si>
  <si>
    <t>Descriptive structure: imputed or group-level molecular profiles can influence the observed clusters.</t>
  </si>
  <si>
    <t>Source: supplied CSV. S001–S100 identify CSV row positions, not original animal identifiers.</t>
  </si>
  <si>
    <t>08  |  STANDARDIZATION CHECK — supplied feature columns</t>
  </si>
  <si>
    <t>N</t>
  </si>
  <si>
    <t>Mean</t>
  </si>
  <si>
    <t>SD (population)</t>
  </si>
  <si>
    <t>SD (sample)</t>
  </si>
  <si>
    <t>Minimum</t>
  </si>
  <si>
    <t>Maximum</t>
  </si>
  <si>
    <t>Below -2</t>
  </si>
  <si>
    <t>Above +2</t>
  </si>
  <si>
    <t>Missing</t>
  </si>
  <si>
    <t>09  |  COHORT COUNTS</t>
  </si>
  <si>
    <t>Weeks</t>
  </si>
  <si>
    <t>Total</t>
  </si>
  <si>
    <t>10  |  CLUSTERING AUDIT</t>
  </si>
  <si>
    <t>Samples</t>
  </si>
  <si>
    <t>Features</t>
  </si>
  <si>
    <t>Missing feature values</t>
  </si>
  <si>
    <t>Sample merges</t>
  </si>
  <si>
    <t>Feature merges</t>
  </si>
  <si>
    <t>Sample root Ward height</t>
  </si>
  <si>
    <t>Feature root Ward height</t>
  </si>
  <si>
    <t>Sample cophenetic correlation</t>
  </si>
  <si>
    <t>Feature cophenetic correlation</t>
  </si>
  <si>
    <t>Unique six-feature profiles</t>
  </si>
  <si>
    <t>Zero-height sample merges</t>
  </si>
  <si>
    <t>Cells saturated below -2</t>
  </si>
  <si>
    <t>Cells saturated above +2</t>
  </si>
  <si>
    <t>11  |  METHODS, REPRODUCIBILITY &amp; EDITING GUIDE</t>
  </si>
  <si>
    <t>Purpose</t>
  </si>
  <si>
    <t>One combined-cohort hierarchical clustermap, with sample and feature dendrograms, matching the structure of fig_7.png. No separate duration analysis, radar plot, cluster cut, or K-means result has been added.</t>
  </si>
  <si>
    <t>Source data</t>
  </si>
  <si>
    <t>Phenotypic_Clustered_Data.csv: 100 rows × 8 original columns. Group_ID and Study_Duration are categorical annotations. Each group contributes 5 rows at 4 weeks and 5 at 12 weeks.</t>
  </si>
  <si>
    <t>Input scale</t>
  </si>
  <si>
    <t>IL-6, iNOS, BDNF_SUP, Nrf-2, hypalg_aft and hypalg_rel are already standardized: mean approximately 0 and population SD 1 for each feature. The input values are used unchanged; these are not raw assay-unit measurements.</t>
  </si>
  <si>
    <t>Row clustering</t>
  </si>
  <si>
    <t>SciPy linkage(X, method="ward", metric="euclidean", optimal_ordering=False), where X is the 100 × 6 supplied standardized-feature matrix. No metadata enters the distance calculation.</t>
  </si>
  <si>
    <t>Feature clustering</t>
  </si>
  <si>
    <t>SciPy linkage(X.T, method="ward", metric="euclidean", optimal_ordering=False). Features are compared across all 100 rows; no additional per-row standardization is applied.</t>
  </si>
  <si>
    <t>Leaf order</t>
  </si>
  <si>
    <t>scipy.cluster.hierarchy.leaves_list is used for both trees. The column order is IL-6, iNOS, BDNF_SUP, Nrf-2, hypalg_aft, hypalg_rel. Tied / identical profiles can have equivalent alternative leaf orders.</t>
  </si>
  <si>
    <t>Node numbering</t>
  </si>
  <si>
    <t>Sample leaves are numbered 1–100 in source CSV order; merge nodes are 101–199. Feature leaves are 1–6 in the original feature order; merge nodes are 7–11. Child IDs in both tables are one-based; SciPy uses zero-based IDs.</t>
  </si>
  <si>
    <t>Linkage meaning</t>
  </si>
  <si>
    <t>Ward_height is the SciPy Ward linkage distance, not a correlation, p-value, or arbitrary cluster label. Leaf_count is the total number of leaves in the merged node. A parent center is the arithmetic mean of its two child centers, matching dendrogram geometry.</t>
  </si>
  <si>
    <t>Branch geometry</t>
  </si>
  <si>
    <t>Sample leaf centers: Y = 100.5 − Leaf_position. Sample chart X = root Ward height − node height, so leaves lie on the right. Feature leaf centers: X = Leaf_position − 0.5; feature Y = node height. Each U branch is 4 points plus a blank gap.</t>
  </si>
  <si>
    <t>Color mapping</t>
  </si>
  <si>
    <t>One global continuous diverging scale: blue #0072B2 at −2, near-white #F7F9FB at 0, amber #E69F00 at +2. Values outside ±2 are color-saturated only; source numbers, linkage and heatmap formulas retain full values. Annotation colors are categorical.</t>
  </si>
  <si>
    <t>How to edit the figure</t>
  </si>
  <si>
    <t>Use Home &gt; Conditional Formatting &gt; Manage Rules for the heatmap and annotation palettes. Select a dendrogram &gt; Chart Design / Format for line appearance. The dendrograms are native XY scatter charts, not pictures. Figure numbers are hidden with the ;;; number format; change it to 0.00 to show values.</t>
  </si>
  <si>
    <t>Important recalculation limit</t>
  </si>
  <si>
    <t>Source-to-ordered-matrix and figure values are formula-linked. Ward linkage, leaf order and chart axis bounds are precomputed for the supplied CSV. Editing source values does not rerun clustering. Recompute linkage and leaf order, update supporting tables and axis limits, then verify alignment before interpreting changed data.</t>
  </si>
  <si>
    <t>Export / aspect ratio</t>
  </si>
  <si>
    <t>A1:M127 is a 900 × 1600 logical-pixel figure (9:16). Print area is limited to this range, portrait, fit to one page. Export from desktop Excel to PDF for vector-quality lines and text; A3 paper introduces side margins but does not alter the figure aspect. If raster output is required downstream, render the PDF at 300–600 dpi.</t>
  </si>
  <si>
    <t>Interpretation limits</t>
  </si>
  <si>
    <t>This is descriptive, unsupervised structure, not proof of treatment efficacy, causation or biological recovery. The report describes imputed / group-level molecular profiles, which may strengthen apparent clustering. The CSV does not identify which values were imputed or provide original animal IDs.</t>
  </si>
  <si>
    <t>Source references</t>
  </si>
  <si>
    <t>hyperalgesia_report.pdf, Section 6.1 (Ward / Euclidean method); fig_7.png (structural reference); image-1.png (blue / orange / green / purple styling reference). BDNF_SUP is the report’s CCA-derived latent variable.</t>
  </si>
  <si>
    <t>Reproducibility environment</t>
  </si>
  <si>
    <t>Python; SciPy 1.17.1; NumPy 2.3.5; pandas 2.2.3; XlsxWriter 3.2.9. Generated 27 September 2026.</t>
  </si>
  <si>
    <t>CSV SHA-256</t>
  </si>
  <si>
    <t>3e1e4673761df2743b1f1908a6b43bcc3815e3c40955957adcb908d273b74e92</t>
  </si>
  <si>
    <t>← Back to figure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</si>
</sst>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0.000000"/>
  </numFmts>
  <fonts count="22" x14ac:knownFonts="1">
    <font>
      <sz val="11"/>
      <color theme="1"/>
      <name val="Calibri"/>
      <family val="2"/>
      <scheme val="minor"/>
    </font>
    <font>
      <sz val="10"/>
      <color rgb="FF24384B"/>
      <name val="Calibri"/>
      <family val="2"/>
      <scheme val="minor"/>
    </font>
    <font>
      <b/>
      <sz val="9"/>
      <color rgb="FF0072B2"/>
      <name val="Calibri"/>
      <family val="2"/>
      <scheme val="minor"/>
    </font>
    <font>
      <b/>
      <sz val="11"/>
      <color rgb="FFFFFFFF"/>
      <name val="Calibri"/>
      <family val="2"/>
      <scheme val="minor"/>
    </font>
    <font>
      <b/>
      <sz val="23"/>
      <color rgb="FF15324F"/>
      <name val="Calibri"/>
      <family val="2"/>
      <scheme val="minor"/>
    </font>
    <font>
      <b/>
      <u/>
      <sz val="9"/>
      <color rgb="FF0072B2"/>
      <name val="Calibri"/>
      <family val="2"/>
      <scheme val="minor"/>
    </font>
    <font>
      <sz val="12"/>
      <color rgb="FF607284"/>
      <name val="Calibri"/>
      <family val="2"/>
      <scheme val="minor"/>
    </font>
    <font>
      <sz val="10"/>
      <color rgb="FF607284"/>
      <name val="Calibri"/>
      <family val="2"/>
      <scheme val="minor"/>
    </font>
    <font>
      <b/>
      <sz val="13"/>
      <color rgb="FF15324F"/>
      <name val="Calibri"/>
      <family val="2"/>
      <scheme val="minor"/>
    </font>
    <font>
      <b/>
      <sz val="9"/>
      <color rgb="FF607284"/>
      <name val="Calibri"/>
      <family val="2"/>
      <scheme val="minor"/>
    </font>
    <font>
      <b/>
      <sz val="8"/>
      <color rgb="FF607284"/>
      <name val="Calibri"/>
      <family val="2"/>
      <scheme val="minor"/>
    </font>
    <font>
      <b/>
      <sz val="10"/>
      <color rgb="FF15324F"/>
      <name val="Calibri"/>
      <family val="2"/>
      <scheme val="minor"/>
    </font>
    <font>
      <sz val="5.5"/>
      <color rgb="FF607284"/>
      <name val="Calibri"/>
      <family val="2"/>
      <scheme val="minor"/>
    </font>
    <font>
      <b/>
      <sz val="9"/>
      <color rgb="FF15324F"/>
      <name val="Calibri"/>
      <family val="2"/>
      <scheme val="minor"/>
    </font>
    <font>
      <sz val="9"/>
      <color rgb="FF607284"/>
      <name val="Calibri"/>
      <family val="2"/>
      <scheme val="minor"/>
    </font>
    <font>
      <sz val="9"/>
      <color rgb="FFFFFFFF"/>
      <name val="Calibri"/>
      <family val="2"/>
      <scheme val="minor"/>
    </font>
    <font>
      <sz val="9"/>
      <color rgb="FF15324F"/>
      <name val="Calibri"/>
      <family val="2"/>
      <scheme val="minor"/>
    </font>
    <font>
      <sz val="8"/>
      <color rgb="FF607284"/>
      <name val="Calibri"/>
      <family val="2"/>
      <scheme val="minor"/>
    </font>
    <font>
      <b/>
      <sz val="9"/>
      <color rgb="FFFFFFFF"/>
      <name val="Calibri"/>
      <family val="2"/>
      <scheme val="minor"/>
    </font>
    <font>
      <sz val="9"/>
      <color rgb="FF24384B"/>
      <name val="Calibri"/>
      <family val="2"/>
      <scheme val="minor"/>
    </font>
    <font>
      <b/>
      <sz val="10"/>
      <color rgb="FF24384B"/>
      <name val="Calibri"/>
      <family val="2"/>
      <scheme val="minor"/>
    </font>
    <font>
      <sz val="8"/>
      <color indexed="81"/>
      <name val="Tahoma"/>
      <family val="2"/>
    </font>
  </fonts>
  <fills count="21">
    <fill>
      <patternFill patternType="none"/>
    </fill>
    <fill>
      <patternFill patternType="gray125"/>
    </fill>
    <fill>
      <patternFill patternType="solid">
        <fgColor rgb="FFFFFFFF"/>
        <bgColor indexed="64"/>
      </patternFill>
    </fill>
    <fill>
      <patternFill patternType="solid">
        <fgColor rgb="FF15324F"/>
        <bgColor indexed="64"/>
      </patternFill>
    </fill>
    <fill>
      <patternFill patternType="solid">
        <fgColor rgb="FFEAF1F7"/>
        <bgColor indexed="64"/>
      </patternFill>
    </fill>
    <fill>
      <patternFill patternType="solid">
        <fgColor rgb="FFFFF3DC"/>
        <bgColor indexed="64"/>
      </patternFill>
    </fill>
    <fill>
      <patternFill patternType="solid">
        <fgColor rgb="FFF7F9FB"/>
        <bgColor indexed="64"/>
      </patternFill>
    </fill>
    <fill>
      <patternFill patternType="solid">
        <fgColor rgb="FF0072B2"/>
        <bgColor indexed="64"/>
      </patternFill>
    </fill>
    <fill>
      <patternFill patternType="solid">
        <fgColor rgb="FF7CB6D6"/>
        <bgColor indexed="64"/>
      </patternFill>
    </fill>
    <fill>
      <patternFill patternType="solid">
        <fgColor rgb="FFEECC7E"/>
        <bgColor indexed="64"/>
      </patternFill>
    </fill>
    <fill>
      <patternFill patternType="solid">
        <fgColor rgb="FFE69F00"/>
        <bgColor indexed="64"/>
      </patternFill>
    </fill>
    <fill>
      <patternFill patternType="solid">
        <fgColor rgb="FF009E73"/>
        <bgColor indexed="64"/>
      </patternFill>
    </fill>
    <fill>
      <patternFill patternType="solid">
        <fgColor rgb="FF7B61A8"/>
        <bgColor indexed="64"/>
      </patternFill>
    </fill>
    <fill>
      <patternFill patternType="solid">
        <fgColor rgb="FF56B4E9"/>
        <bgColor indexed="64"/>
      </patternFill>
    </fill>
    <fill>
      <patternFill patternType="solid">
        <fgColor rgb="FFD55E00"/>
        <bgColor indexed="64"/>
      </patternFill>
    </fill>
    <fill>
      <patternFill patternType="solid">
        <fgColor rgb="FF228B8D"/>
        <bgColor indexed="64"/>
      </patternFill>
    </fill>
    <fill>
      <patternFill patternType="solid">
        <fgColor rgb="FF6F7C8D"/>
        <bgColor indexed="64"/>
      </patternFill>
    </fill>
    <fill>
      <patternFill patternType="solid">
        <fgColor rgb="FFCC79A7"/>
        <bgColor indexed="64"/>
      </patternFill>
    </fill>
    <fill>
      <patternFill patternType="solid">
        <fgColor rgb="FF6DA542"/>
        <bgColor indexed="64"/>
      </patternFill>
    </fill>
    <fill>
      <patternFill patternType="solid">
        <fgColor rgb="FFA9CCE8"/>
        <bgColor indexed="64"/>
      </patternFill>
    </fill>
    <fill>
      <patternFill patternType="solid">
        <fgColor rgb="FFF6BD84"/>
        <bgColor indexed="64"/>
      </patternFill>
    </fill>
  </fills>
  <borders count="4">
    <border>
      <left/>
      <right/>
      <top/>
      <bottom/>
      <diagonal/>
    </border>
    <border>
      <left/>
      <right/>
      <top/>
      <bottom style="thin">
        <color rgb="FFEAF1F7"/>
      </bottom>
      <diagonal/>
    </border>
    <border>
      <left style="thin">
        <color rgb="FFFFFFFF"/>
      </left>
      <right/>
      <top/>
      <bottom style="thin">
        <color rgb="FFFFFFFF"/>
      </bottom>
      <diagonal/>
    </border>
    <border>
      <left/>
      <right/>
      <top style="thin">
        <color rgb="FFEAF1F7"/>
      </top>
      <bottom/>
      <diagonal/>
    </border>
  </borders>
  <cellStyleXfs count="1">
    <xf numFmtId="0" fontId="0" fillId="0" borderId="0"/>
  </cellStyleXfs>
  <cellXfs count="52">
    <xf numFmtId="0" fontId="0" fillId="0" borderId="0" xfId="0"/>
    <xf numFmtId="0" fontId="1" fillId="2" borderId="0" xfId="0" applyFont="1" applyFill="1" applyAlignment="1">
      <alignment vertical="center"/>
    </xf>
    <xf numFmtId="0" fontId="3" fillId="3" borderId="0" xfId="0" applyFont="1" applyFill="1" applyAlignment="1">
      <alignment vertical="center"/>
    </xf>
    <xf numFmtId="0" fontId="5" fillId="0" borderId="0" xfId="0" applyFont="1" applyAlignment="1">
      <alignment vertical="center"/>
    </xf>
    <xf numFmtId="0" fontId="9" fillId="0" borderId="0" xfId="0" applyFont="1" applyAlignment="1">
      <alignment vertical="center"/>
    </xf>
    <xf numFmtId="0" fontId="10"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164" fontId="1" fillId="0" borderId="2" xfId="0" applyNumberFormat="1" applyFont="1" applyBorder="1" applyAlignment="1">
      <alignment vertical="center"/>
    </xf>
    <xf numFmtId="164" fontId="1" fillId="6" borderId="2" xfId="0" applyNumberFormat="1" applyFont="1" applyFill="1" applyBorder="1" applyAlignment="1">
      <alignment vertical="center"/>
    </xf>
    <xf numFmtId="0" fontId="15" fillId="7" borderId="0" xfId="0" applyFont="1" applyFill="1" applyAlignment="1">
      <alignment horizontal="center" vertical="center"/>
    </xf>
    <xf numFmtId="0" fontId="16" fillId="8" borderId="0" xfId="0" applyFont="1" applyFill="1" applyAlignment="1">
      <alignment horizontal="center" vertical="center"/>
    </xf>
    <xf numFmtId="0" fontId="16" fillId="6" borderId="0" xfId="0" applyFont="1" applyFill="1" applyAlignment="1">
      <alignment horizontal="center" vertical="center"/>
    </xf>
    <xf numFmtId="0" fontId="16" fillId="9" borderId="0" xfId="0" applyFont="1" applyFill="1" applyAlignment="1">
      <alignment horizontal="center" vertical="center"/>
    </xf>
    <xf numFmtId="0" fontId="16" fillId="10" borderId="0" xfId="0" applyFont="1" applyFill="1" applyAlignment="1">
      <alignment horizontal="center" vertical="center"/>
    </xf>
    <xf numFmtId="0" fontId="17" fillId="0" borderId="0" xfId="0" applyFont="1" applyAlignment="1">
      <alignment horizontal="center" vertical="center"/>
    </xf>
    <xf numFmtId="0" fontId="18" fillId="7" borderId="0" xfId="0" applyFont="1" applyFill="1" applyAlignment="1">
      <alignment horizontal="center" vertical="center"/>
    </xf>
    <xf numFmtId="0" fontId="13" fillId="10" borderId="0" xfId="0" applyFont="1" applyFill="1" applyAlignment="1">
      <alignment horizontal="center" vertical="center"/>
    </xf>
    <xf numFmtId="0" fontId="18" fillId="11" borderId="0" xfId="0" applyFont="1" applyFill="1" applyAlignment="1">
      <alignment horizontal="center" vertical="center"/>
    </xf>
    <xf numFmtId="0" fontId="18" fillId="12" borderId="0" xfId="0" applyFont="1" applyFill="1" applyAlignment="1">
      <alignment horizontal="center" vertical="center"/>
    </xf>
    <xf numFmtId="0" fontId="13" fillId="13" borderId="0" xfId="0" applyFont="1" applyFill="1" applyAlignment="1">
      <alignment horizontal="center" vertical="center"/>
    </xf>
    <xf numFmtId="0" fontId="18" fillId="14" borderId="0" xfId="0" applyFont="1" applyFill="1" applyAlignment="1">
      <alignment horizontal="center" vertical="center"/>
    </xf>
    <xf numFmtId="0" fontId="18" fillId="15" borderId="0" xfId="0" applyFont="1" applyFill="1" applyAlignment="1">
      <alignment horizontal="center" vertical="center"/>
    </xf>
    <xf numFmtId="0" fontId="18" fillId="16" borderId="0" xfId="0" applyFont="1" applyFill="1" applyAlignment="1">
      <alignment horizontal="center" vertical="center"/>
    </xf>
    <xf numFmtId="0" fontId="18" fillId="17" borderId="0" xfId="0" applyFont="1" applyFill="1" applyAlignment="1">
      <alignment horizontal="center" vertical="center"/>
    </xf>
    <xf numFmtId="0" fontId="18" fillId="18" borderId="0" xfId="0" applyFont="1" applyFill="1" applyAlignment="1">
      <alignment horizontal="center" vertical="center"/>
    </xf>
    <xf numFmtId="0" fontId="18" fillId="7" borderId="0" xfId="0" applyFont="1" applyFill="1" applyAlignment="1">
      <alignment vertical="center" wrapText="1"/>
    </xf>
    <xf numFmtId="1" fontId="19" fillId="0" borderId="0" xfId="0" applyNumberFormat="1" applyFont="1" applyAlignment="1">
      <alignment vertical="center"/>
    </xf>
    <xf numFmtId="0" fontId="19" fillId="0" borderId="0" xfId="0" applyFont="1" applyAlignment="1">
      <alignment vertical="center"/>
    </xf>
    <xf numFmtId="165" fontId="19" fillId="0" borderId="0" xfId="0" applyNumberFormat="1" applyFont="1" applyAlignment="1">
      <alignment vertical="center"/>
    </xf>
    <xf numFmtId="0" fontId="20" fillId="0" borderId="0" xfId="0" applyFont="1" applyAlignment="1">
      <alignment vertical="center"/>
    </xf>
    <xf numFmtId="0" fontId="2" fillId="0" borderId="0" xfId="0" applyFont="1" applyAlignment="1">
      <alignment vertical="center"/>
    </xf>
    <xf numFmtId="0" fontId="4"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1" fillId="0" borderId="1" xfId="0" applyFont="1" applyBorder="1" applyAlignment="1">
      <alignment vertical="center"/>
    </xf>
    <xf numFmtId="0" fontId="8" fillId="0" borderId="0" xfId="0" applyFont="1" applyAlignment="1">
      <alignment vertical="center"/>
    </xf>
    <xf numFmtId="0" fontId="3" fillId="3" borderId="0" xfId="0" applyFont="1" applyFill="1" applyAlignment="1">
      <alignment vertical="center"/>
    </xf>
    <xf numFmtId="0" fontId="1" fillId="0" borderId="0" xfId="0" applyFont="1" applyAlignment="1">
      <alignment vertical="center"/>
    </xf>
    <xf numFmtId="0" fontId="5" fillId="0" borderId="0" xfId="0" applyFont="1" applyAlignment="1">
      <alignment vertical="center"/>
    </xf>
    <xf numFmtId="0" fontId="1" fillId="0" borderId="0" xfId="0" applyFont="1" applyAlignment="1">
      <alignment vertical="center" wrapText="1"/>
    </xf>
    <xf numFmtId="0" fontId="1" fillId="4" borderId="0" xfId="0" applyFont="1" applyFill="1" applyAlignment="1">
      <alignment vertical="center" wrapText="1"/>
    </xf>
    <xf numFmtId="0" fontId="1" fillId="5" borderId="0" xfId="0" applyFont="1" applyFill="1" applyAlignment="1">
      <alignment vertical="center" wrapText="1"/>
    </xf>
    <xf numFmtId="0" fontId="13" fillId="0" borderId="0" xfId="0" applyFont="1" applyAlignment="1">
      <alignment vertical="center"/>
    </xf>
    <xf numFmtId="0" fontId="7" fillId="0" borderId="0" xfId="0" applyFont="1" applyAlignment="1">
      <alignment horizontal="center" vertical="center"/>
    </xf>
    <xf numFmtId="0" fontId="14" fillId="0" borderId="0" xfId="0" applyFont="1" applyAlignment="1">
      <alignment vertical="center"/>
    </xf>
    <xf numFmtId="0" fontId="19" fillId="19" borderId="0" xfId="0" applyFont="1" applyFill="1" applyAlignment="1">
      <alignment horizontal="center" vertical="center"/>
    </xf>
    <xf numFmtId="0" fontId="19" fillId="20" borderId="0" xfId="0" applyFont="1" applyFill="1" applyAlignment="1">
      <alignment horizontal="center" vertical="center"/>
    </xf>
    <xf numFmtId="0" fontId="17" fillId="0" borderId="0" xfId="0" applyFont="1" applyAlignment="1">
      <alignment horizontal="center" vertical="center"/>
    </xf>
    <xf numFmtId="0" fontId="14" fillId="0" borderId="3" xfId="0" applyFont="1" applyBorder="1" applyAlignment="1">
      <alignment vertical="center"/>
    </xf>
    <xf numFmtId="0" fontId="20" fillId="4" borderId="0" xfId="0" applyFont="1" applyFill="1" applyAlignment="1">
      <alignment vertical="center" wrapText="1"/>
    </xf>
    <xf numFmtId="0" fontId="1" fillId="2" borderId="1" xfId="0" applyFont="1" applyFill="1" applyBorder="1" applyAlignment="1">
      <alignment vertical="center" wrapText="1"/>
    </xf>
  </cellXfs>
  <cellStyles count="1">
    <cellStyle name="Normal" xfId="0" builtinId="0"/>
  </cellStyles>
  <dxfs count="12">
    <dxf>
      <font>
        <color rgb="FF24384B"/>
      </font>
      <fill>
        <patternFill>
          <bgColor rgb="FFF6BD84"/>
        </patternFill>
      </fill>
    </dxf>
    <dxf>
      <font>
        <color rgb="FF24384B"/>
      </font>
      <fill>
        <patternFill>
          <bgColor rgb="FFA9CCE8"/>
        </patternFill>
      </fill>
    </dxf>
    <dxf>
      <font>
        <color rgb="FF24384B"/>
      </font>
      <fill>
        <patternFill>
          <bgColor rgb="FF6DA542"/>
        </patternFill>
      </fill>
    </dxf>
    <dxf>
      <font>
        <color rgb="FF24384B"/>
      </font>
      <fill>
        <patternFill>
          <bgColor rgb="FFCC79A7"/>
        </patternFill>
      </fill>
    </dxf>
    <dxf>
      <font>
        <color rgb="FF24384B"/>
      </font>
      <fill>
        <patternFill>
          <bgColor rgb="FF6F7C8D"/>
        </patternFill>
      </fill>
    </dxf>
    <dxf>
      <font>
        <color rgb="FF24384B"/>
      </font>
      <fill>
        <patternFill>
          <bgColor rgb="FF228B8D"/>
        </patternFill>
      </fill>
    </dxf>
    <dxf>
      <font>
        <color rgb="FF24384B"/>
      </font>
      <fill>
        <patternFill>
          <bgColor rgb="FFD55E00"/>
        </patternFill>
      </fill>
    </dxf>
    <dxf>
      <font>
        <color rgb="FF24384B"/>
      </font>
      <fill>
        <patternFill>
          <bgColor rgb="FF56B4E9"/>
        </patternFill>
      </fill>
    </dxf>
    <dxf>
      <font>
        <color rgb="FF24384B"/>
      </font>
      <fill>
        <patternFill>
          <bgColor rgb="FF7B61A8"/>
        </patternFill>
      </fill>
    </dxf>
    <dxf>
      <font>
        <color rgb="FF24384B"/>
      </font>
      <fill>
        <patternFill>
          <bgColor rgb="FF009E73"/>
        </patternFill>
      </fill>
    </dxf>
    <dxf>
      <font>
        <color rgb="FF24384B"/>
      </font>
      <fill>
        <patternFill>
          <bgColor rgb="FFE69F00"/>
        </patternFill>
      </fill>
    </dxf>
    <dxf>
      <font>
        <color rgb="FF24384B"/>
      </font>
      <fill>
        <patternFill>
          <bgColor rgb="FF0072B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scatterChart>
        <c:scatterStyle val="lineMarker"/>
        <c:varyColors val="0"/>
        <c:ser>
          <c:idx val="0"/>
          <c:order val="0"/>
          <c:tx>
            <c:v>Sample dendrogram • Ward / Euclidean</c:v>
          </c:tx>
          <c:spPr>
            <a:ln w="9525">
              <a:solidFill>
                <a:srgbClr val="657584"/>
              </a:solidFill>
            </a:ln>
          </c:spPr>
          <c:marker>
            <c:symbol val="none"/>
          </c:marker>
          <c:xVal>
            <c:numRef>
              <c:f>'Combined Clustermap'!$BA$144:$BA$638</c:f>
              <c:numCache>
                <c:formatCode>0.000000</c:formatCode>
                <c:ptCount val="495"/>
                <c:pt idx="0">
                  <c:v>22.334220944888109</c:v>
                </c:pt>
                <c:pt idx="1">
                  <c:v>22.334220944888109</c:v>
                </c:pt>
                <c:pt idx="2">
                  <c:v>22.334220944888109</c:v>
                </c:pt>
                <c:pt idx="3">
                  <c:v>22.334220944888109</c:v>
                </c:pt>
                <c:pt idx="5">
                  <c:v>22.334220944888109</c:v>
                </c:pt>
                <c:pt idx="6">
                  <c:v>22.334220944888109</c:v>
                </c:pt>
                <c:pt idx="7">
                  <c:v>22.334220944888109</c:v>
                </c:pt>
                <c:pt idx="8">
                  <c:v>22.334220944888109</c:v>
                </c:pt>
                <c:pt idx="10">
                  <c:v>22.334220944888109</c:v>
                </c:pt>
                <c:pt idx="11">
                  <c:v>22.334220944888109</c:v>
                </c:pt>
                <c:pt idx="12">
                  <c:v>22.334220944888109</c:v>
                </c:pt>
                <c:pt idx="13">
                  <c:v>22.334220944888109</c:v>
                </c:pt>
                <c:pt idx="15">
                  <c:v>22.334220944888109</c:v>
                </c:pt>
                <c:pt idx="16">
                  <c:v>22.334220944888109</c:v>
                </c:pt>
                <c:pt idx="17">
                  <c:v>22.334220944888109</c:v>
                </c:pt>
                <c:pt idx="18">
                  <c:v>22.334220944888109</c:v>
                </c:pt>
                <c:pt idx="20">
                  <c:v>22.334220944888109</c:v>
                </c:pt>
                <c:pt idx="21">
                  <c:v>22.334220944888109</c:v>
                </c:pt>
                <c:pt idx="22">
                  <c:v>22.334220944888109</c:v>
                </c:pt>
                <c:pt idx="23">
                  <c:v>22.334220944888109</c:v>
                </c:pt>
                <c:pt idx="25">
                  <c:v>22.334220944888109</c:v>
                </c:pt>
                <c:pt idx="26">
                  <c:v>22.334220944888109</c:v>
                </c:pt>
                <c:pt idx="27">
                  <c:v>22.334220944888109</c:v>
                </c:pt>
                <c:pt idx="28">
                  <c:v>22.334220944888109</c:v>
                </c:pt>
                <c:pt idx="30">
                  <c:v>22.334220944888109</c:v>
                </c:pt>
                <c:pt idx="31">
                  <c:v>22.334220944888109</c:v>
                </c:pt>
                <c:pt idx="32">
                  <c:v>22.334220944888109</c:v>
                </c:pt>
                <c:pt idx="33">
                  <c:v>22.334220944888109</c:v>
                </c:pt>
                <c:pt idx="35">
                  <c:v>22.334220944888109</c:v>
                </c:pt>
                <c:pt idx="36">
                  <c:v>22.334220944888109</c:v>
                </c:pt>
                <c:pt idx="37">
                  <c:v>22.334220944888109</c:v>
                </c:pt>
                <c:pt idx="38">
                  <c:v>22.334220944888109</c:v>
                </c:pt>
                <c:pt idx="40">
                  <c:v>22.334220944888109</c:v>
                </c:pt>
                <c:pt idx="41">
                  <c:v>22.334220944888109</c:v>
                </c:pt>
                <c:pt idx="42">
                  <c:v>22.334220944888109</c:v>
                </c:pt>
                <c:pt idx="43">
                  <c:v>22.334220944888109</c:v>
                </c:pt>
                <c:pt idx="45">
                  <c:v>22.334220944888109</c:v>
                </c:pt>
                <c:pt idx="46">
                  <c:v>22.334220944888109</c:v>
                </c:pt>
                <c:pt idx="47">
                  <c:v>22.334220944888109</c:v>
                </c:pt>
                <c:pt idx="48">
                  <c:v>22.334220944888109</c:v>
                </c:pt>
                <c:pt idx="50">
                  <c:v>22.334220944888109</c:v>
                </c:pt>
                <c:pt idx="51">
                  <c:v>22.334220944888109</c:v>
                </c:pt>
                <c:pt idx="52">
                  <c:v>22.334220944888109</c:v>
                </c:pt>
                <c:pt idx="53">
                  <c:v>22.334220944888109</c:v>
                </c:pt>
                <c:pt idx="55">
                  <c:v>22.334220944888109</c:v>
                </c:pt>
                <c:pt idx="56">
                  <c:v>22.334220944888109</c:v>
                </c:pt>
                <c:pt idx="57">
                  <c:v>22.334220944888109</c:v>
                </c:pt>
                <c:pt idx="58">
                  <c:v>22.334220944888109</c:v>
                </c:pt>
                <c:pt idx="60">
                  <c:v>22.334220944888109</c:v>
                </c:pt>
                <c:pt idx="61">
                  <c:v>22.334220944888109</c:v>
                </c:pt>
                <c:pt idx="62">
                  <c:v>22.334220944888109</c:v>
                </c:pt>
                <c:pt idx="63">
                  <c:v>22.334220944888109</c:v>
                </c:pt>
                <c:pt idx="65">
                  <c:v>22.334220944888109</c:v>
                </c:pt>
                <c:pt idx="66">
                  <c:v>22.334220944888109</c:v>
                </c:pt>
                <c:pt idx="67">
                  <c:v>22.334220944888109</c:v>
                </c:pt>
                <c:pt idx="68">
                  <c:v>22.334220944888109</c:v>
                </c:pt>
                <c:pt idx="70">
                  <c:v>22.334220944888109</c:v>
                </c:pt>
                <c:pt idx="71">
                  <c:v>22.334220944888109</c:v>
                </c:pt>
                <c:pt idx="72">
                  <c:v>22.334220944888109</c:v>
                </c:pt>
                <c:pt idx="73">
                  <c:v>22.334220944888109</c:v>
                </c:pt>
                <c:pt idx="75">
                  <c:v>22.334220944888109</c:v>
                </c:pt>
                <c:pt idx="76">
                  <c:v>22.334220944888109</c:v>
                </c:pt>
                <c:pt idx="77">
                  <c:v>22.334220944888109</c:v>
                </c:pt>
                <c:pt idx="78">
                  <c:v>22.334220944888109</c:v>
                </c:pt>
                <c:pt idx="80">
                  <c:v>22.334220944888109</c:v>
                </c:pt>
                <c:pt idx="81">
                  <c:v>22.334220944888109</c:v>
                </c:pt>
                <c:pt idx="82">
                  <c:v>22.334220944888109</c:v>
                </c:pt>
                <c:pt idx="83">
                  <c:v>22.334220944888109</c:v>
                </c:pt>
                <c:pt idx="85">
                  <c:v>22.334220944888109</c:v>
                </c:pt>
                <c:pt idx="86">
                  <c:v>22.334220944888109</c:v>
                </c:pt>
                <c:pt idx="87">
                  <c:v>22.334220944888109</c:v>
                </c:pt>
                <c:pt idx="88">
                  <c:v>22.334220944888109</c:v>
                </c:pt>
                <c:pt idx="90">
                  <c:v>22.334220944888109</c:v>
                </c:pt>
                <c:pt idx="91">
                  <c:v>22.334220944888109</c:v>
                </c:pt>
                <c:pt idx="92">
                  <c:v>22.334220944888109</c:v>
                </c:pt>
                <c:pt idx="93">
                  <c:v>22.334220944888109</c:v>
                </c:pt>
                <c:pt idx="95">
                  <c:v>22.334220944888109</c:v>
                </c:pt>
                <c:pt idx="96">
                  <c:v>22.334220944888109</c:v>
                </c:pt>
                <c:pt idx="97">
                  <c:v>22.334220944888109</c:v>
                </c:pt>
                <c:pt idx="98">
                  <c:v>22.334220944888109</c:v>
                </c:pt>
                <c:pt idx="100">
                  <c:v>22.334220944888109</c:v>
                </c:pt>
                <c:pt idx="101">
                  <c:v>22.031292137180433</c:v>
                </c:pt>
                <c:pt idx="102">
                  <c:v>22.031292137180433</c:v>
                </c:pt>
                <c:pt idx="103">
                  <c:v>22.334220944888109</c:v>
                </c:pt>
                <c:pt idx="105">
                  <c:v>22.334220944888109</c:v>
                </c:pt>
                <c:pt idx="106">
                  <c:v>21.86356886595069</c:v>
                </c:pt>
                <c:pt idx="107">
                  <c:v>21.86356886595069</c:v>
                </c:pt>
                <c:pt idx="108">
                  <c:v>22.334220944888109</c:v>
                </c:pt>
                <c:pt idx="110">
                  <c:v>22.334220944888109</c:v>
                </c:pt>
                <c:pt idx="111">
                  <c:v>21.86356886595069</c:v>
                </c:pt>
                <c:pt idx="112">
                  <c:v>21.86356886595069</c:v>
                </c:pt>
                <c:pt idx="113">
                  <c:v>22.334220944888109</c:v>
                </c:pt>
                <c:pt idx="115">
                  <c:v>22.334220944888109</c:v>
                </c:pt>
                <c:pt idx="116">
                  <c:v>21.86356886595069</c:v>
                </c:pt>
                <c:pt idx="117">
                  <c:v>21.86356886595069</c:v>
                </c:pt>
                <c:pt idx="118">
                  <c:v>22.334220944888109</c:v>
                </c:pt>
                <c:pt idx="120">
                  <c:v>22.334220944888109</c:v>
                </c:pt>
                <c:pt idx="121">
                  <c:v>21.86356886595069</c:v>
                </c:pt>
                <c:pt idx="122">
                  <c:v>21.86356886595069</c:v>
                </c:pt>
                <c:pt idx="123">
                  <c:v>22.334220944888109</c:v>
                </c:pt>
                <c:pt idx="125">
                  <c:v>22.334220944888109</c:v>
                </c:pt>
                <c:pt idx="126">
                  <c:v>21.834676619210533</c:v>
                </c:pt>
                <c:pt idx="127">
                  <c:v>21.834676619210533</c:v>
                </c:pt>
                <c:pt idx="128">
                  <c:v>22.334220944888109</c:v>
                </c:pt>
                <c:pt idx="130">
                  <c:v>22.334220944888109</c:v>
                </c:pt>
                <c:pt idx="131">
                  <c:v>21.83194573628537</c:v>
                </c:pt>
                <c:pt idx="132">
                  <c:v>21.83194573628537</c:v>
                </c:pt>
                <c:pt idx="133">
                  <c:v>22.334220944888109</c:v>
                </c:pt>
                <c:pt idx="135">
                  <c:v>22.334220944888109</c:v>
                </c:pt>
                <c:pt idx="136">
                  <c:v>21.800757285673775</c:v>
                </c:pt>
                <c:pt idx="137">
                  <c:v>21.800757285673775</c:v>
                </c:pt>
                <c:pt idx="138">
                  <c:v>22.334220944888109</c:v>
                </c:pt>
                <c:pt idx="140">
                  <c:v>22.334220944888109</c:v>
                </c:pt>
                <c:pt idx="141">
                  <c:v>21.800757285673775</c:v>
                </c:pt>
                <c:pt idx="142">
                  <c:v>21.800757285673775</c:v>
                </c:pt>
                <c:pt idx="143">
                  <c:v>22.334220944888109</c:v>
                </c:pt>
                <c:pt idx="145">
                  <c:v>22.334220944888109</c:v>
                </c:pt>
                <c:pt idx="146">
                  <c:v>21.792975968185917</c:v>
                </c:pt>
                <c:pt idx="147">
                  <c:v>21.792975968185917</c:v>
                </c:pt>
                <c:pt idx="148">
                  <c:v>22.334220944888109</c:v>
                </c:pt>
                <c:pt idx="150">
                  <c:v>22.334220944888109</c:v>
                </c:pt>
                <c:pt idx="151">
                  <c:v>21.790758735949755</c:v>
                </c:pt>
                <c:pt idx="152">
                  <c:v>21.790758735949755</c:v>
                </c:pt>
                <c:pt idx="153">
                  <c:v>22.334220944888109</c:v>
                </c:pt>
                <c:pt idx="155">
                  <c:v>22.334220944888109</c:v>
                </c:pt>
                <c:pt idx="156">
                  <c:v>21.790758735949755</c:v>
                </c:pt>
                <c:pt idx="157">
                  <c:v>21.790758735949755</c:v>
                </c:pt>
                <c:pt idx="158">
                  <c:v>22.334220944888109</c:v>
                </c:pt>
                <c:pt idx="160">
                  <c:v>22.334220944888109</c:v>
                </c:pt>
                <c:pt idx="161">
                  <c:v>21.776109649394044</c:v>
                </c:pt>
                <c:pt idx="162">
                  <c:v>21.776109649394044</c:v>
                </c:pt>
                <c:pt idx="163">
                  <c:v>22.334220944888109</c:v>
                </c:pt>
                <c:pt idx="165">
                  <c:v>22.334220944888109</c:v>
                </c:pt>
                <c:pt idx="166">
                  <c:v>21.757792224999715</c:v>
                </c:pt>
                <c:pt idx="167">
                  <c:v>21.757792224999715</c:v>
                </c:pt>
                <c:pt idx="168">
                  <c:v>22.334220944888109</c:v>
                </c:pt>
                <c:pt idx="170">
                  <c:v>22.334220944888109</c:v>
                </c:pt>
                <c:pt idx="171">
                  <c:v>21.74518515750167</c:v>
                </c:pt>
                <c:pt idx="172">
                  <c:v>21.74518515750167</c:v>
                </c:pt>
                <c:pt idx="173">
                  <c:v>22.031292137180433</c:v>
                </c:pt>
                <c:pt idx="175">
                  <c:v>22.334220944888109</c:v>
                </c:pt>
                <c:pt idx="176">
                  <c:v>21.738887922913865</c:v>
                </c:pt>
                <c:pt idx="177">
                  <c:v>21.738887922913865</c:v>
                </c:pt>
                <c:pt idx="178">
                  <c:v>22.334220944888109</c:v>
                </c:pt>
                <c:pt idx="180">
                  <c:v>22.334220944888109</c:v>
                </c:pt>
                <c:pt idx="181">
                  <c:v>21.738887922913865</c:v>
                </c:pt>
                <c:pt idx="182">
                  <c:v>21.738887922913865</c:v>
                </c:pt>
                <c:pt idx="183">
                  <c:v>22.334220944888109</c:v>
                </c:pt>
                <c:pt idx="185">
                  <c:v>22.334220944888109</c:v>
                </c:pt>
                <c:pt idx="186">
                  <c:v>21.718230170387553</c:v>
                </c:pt>
                <c:pt idx="187">
                  <c:v>21.718230170387553</c:v>
                </c:pt>
                <c:pt idx="188">
                  <c:v>22.334220944888109</c:v>
                </c:pt>
                <c:pt idx="190">
                  <c:v>22.334220944888109</c:v>
                </c:pt>
                <c:pt idx="191">
                  <c:v>21.689769531505569</c:v>
                </c:pt>
                <c:pt idx="192">
                  <c:v>21.689769531505569</c:v>
                </c:pt>
                <c:pt idx="193">
                  <c:v>22.334220944888109</c:v>
                </c:pt>
                <c:pt idx="195">
                  <c:v>22.334220944888109</c:v>
                </c:pt>
                <c:pt idx="196">
                  <c:v>21.689182542612013</c:v>
                </c:pt>
                <c:pt idx="197">
                  <c:v>21.689182542612013</c:v>
                </c:pt>
                <c:pt idx="198">
                  <c:v>21.74518515750167</c:v>
                </c:pt>
                <c:pt idx="200">
                  <c:v>22.334220944888109</c:v>
                </c:pt>
                <c:pt idx="201">
                  <c:v>21.668704706210722</c:v>
                </c:pt>
                <c:pt idx="202">
                  <c:v>21.668704706210722</c:v>
                </c:pt>
                <c:pt idx="203">
                  <c:v>22.334220944888109</c:v>
                </c:pt>
                <c:pt idx="205">
                  <c:v>22.334220944888109</c:v>
                </c:pt>
                <c:pt idx="206">
                  <c:v>21.605089879455097</c:v>
                </c:pt>
                <c:pt idx="207">
                  <c:v>21.605089879455097</c:v>
                </c:pt>
                <c:pt idx="208">
                  <c:v>22.334220944888109</c:v>
                </c:pt>
                <c:pt idx="210">
                  <c:v>22.334220944888109</c:v>
                </c:pt>
                <c:pt idx="211">
                  <c:v>21.605089879455097</c:v>
                </c:pt>
                <c:pt idx="212">
                  <c:v>21.605089879455097</c:v>
                </c:pt>
                <c:pt idx="213">
                  <c:v>22.334220944888109</c:v>
                </c:pt>
                <c:pt idx="215">
                  <c:v>22.334220944888109</c:v>
                </c:pt>
                <c:pt idx="216">
                  <c:v>21.604151360830411</c:v>
                </c:pt>
                <c:pt idx="217">
                  <c:v>21.604151360830411</c:v>
                </c:pt>
                <c:pt idx="218">
                  <c:v>22.334220944888109</c:v>
                </c:pt>
                <c:pt idx="220">
                  <c:v>22.334220944888109</c:v>
                </c:pt>
                <c:pt idx="221">
                  <c:v>21.590054667420304</c:v>
                </c:pt>
                <c:pt idx="222">
                  <c:v>21.590054667420304</c:v>
                </c:pt>
                <c:pt idx="223">
                  <c:v>21.757792224999715</c:v>
                </c:pt>
                <c:pt idx="225">
                  <c:v>22.334220944888109</c:v>
                </c:pt>
                <c:pt idx="226">
                  <c:v>21.565649318370248</c:v>
                </c:pt>
                <c:pt idx="227">
                  <c:v>21.565649318370248</c:v>
                </c:pt>
                <c:pt idx="228">
                  <c:v>21.790758735949755</c:v>
                </c:pt>
                <c:pt idx="230">
                  <c:v>22.334220944888109</c:v>
                </c:pt>
                <c:pt idx="231">
                  <c:v>21.565649318370248</c:v>
                </c:pt>
                <c:pt idx="232">
                  <c:v>21.565649318370248</c:v>
                </c:pt>
                <c:pt idx="233">
                  <c:v>21.790758735949755</c:v>
                </c:pt>
                <c:pt idx="235">
                  <c:v>22.334220944888109</c:v>
                </c:pt>
                <c:pt idx="236">
                  <c:v>21.519027631480579</c:v>
                </c:pt>
                <c:pt idx="237">
                  <c:v>21.519027631480579</c:v>
                </c:pt>
                <c:pt idx="238">
                  <c:v>21.86356886595069</c:v>
                </c:pt>
                <c:pt idx="240">
                  <c:v>22.334220944888109</c:v>
                </c:pt>
                <c:pt idx="241">
                  <c:v>21.514810771758345</c:v>
                </c:pt>
                <c:pt idx="242">
                  <c:v>21.514810771758345</c:v>
                </c:pt>
                <c:pt idx="243">
                  <c:v>22.334220944888109</c:v>
                </c:pt>
                <c:pt idx="245">
                  <c:v>21.834676619210533</c:v>
                </c:pt>
                <c:pt idx="246">
                  <c:v>21.466995457052281</c:v>
                </c:pt>
                <c:pt idx="247">
                  <c:v>21.466995457052281</c:v>
                </c:pt>
                <c:pt idx="248">
                  <c:v>21.514810771758345</c:v>
                </c:pt>
                <c:pt idx="250">
                  <c:v>22.334220944888109</c:v>
                </c:pt>
                <c:pt idx="251">
                  <c:v>21.458584096993732</c:v>
                </c:pt>
                <c:pt idx="252">
                  <c:v>21.458584096993732</c:v>
                </c:pt>
                <c:pt idx="253">
                  <c:v>22.334220944888109</c:v>
                </c:pt>
                <c:pt idx="255">
                  <c:v>22.334220944888109</c:v>
                </c:pt>
                <c:pt idx="256">
                  <c:v>21.451405954401526</c:v>
                </c:pt>
                <c:pt idx="257">
                  <c:v>21.451405954401526</c:v>
                </c:pt>
                <c:pt idx="258">
                  <c:v>21.668704706210722</c:v>
                </c:pt>
                <c:pt idx="260">
                  <c:v>22.334220944888109</c:v>
                </c:pt>
                <c:pt idx="261">
                  <c:v>21.403013116450747</c:v>
                </c:pt>
                <c:pt idx="262">
                  <c:v>21.403013116450747</c:v>
                </c:pt>
                <c:pt idx="263">
                  <c:v>22.334220944888109</c:v>
                </c:pt>
                <c:pt idx="265">
                  <c:v>22.334220944888109</c:v>
                </c:pt>
                <c:pt idx="266">
                  <c:v>21.326805571230928</c:v>
                </c:pt>
                <c:pt idx="267">
                  <c:v>21.326805571230928</c:v>
                </c:pt>
                <c:pt idx="268">
                  <c:v>21.689769531505569</c:v>
                </c:pt>
                <c:pt idx="270">
                  <c:v>22.334220944888109</c:v>
                </c:pt>
                <c:pt idx="271">
                  <c:v>21.312979256852795</c:v>
                </c:pt>
                <c:pt idx="272">
                  <c:v>21.312979256852795</c:v>
                </c:pt>
                <c:pt idx="273">
                  <c:v>21.83194573628537</c:v>
                </c:pt>
                <c:pt idx="275">
                  <c:v>22.334220944888109</c:v>
                </c:pt>
                <c:pt idx="276">
                  <c:v>21.24353015468871</c:v>
                </c:pt>
                <c:pt idx="277">
                  <c:v>21.24353015468871</c:v>
                </c:pt>
                <c:pt idx="278">
                  <c:v>22.334220944888109</c:v>
                </c:pt>
                <c:pt idx="280">
                  <c:v>22.334220944888109</c:v>
                </c:pt>
                <c:pt idx="281">
                  <c:v>21.225700684047613</c:v>
                </c:pt>
                <c:pt idx="282">
                  <c:v>21.225700684047613</c:v>
                </c:pt>
                <c:pt idx="283">
                  <c:v>22.334220944888109</c:v>
                </c:pt>
                <c:pt idx="285">
                  <c:v>22.334220944888109</c:v>
                </c:pt>
                <c:pt idx="286">
                  <c:v>21.207390898180154</c:v>
                </c:pt>
                <c:pt idx="287">
                  <c:v>21.207390898180154</c:v>
                </c:pt>
                <c:pt idx="288">
                  <c:v>21.800757285673775</c:v>
                </c:pt>
                <c:pt idx="290">
                  <c:v>22.334220944888109</c:v>
                </c:pt>
                <c:pt idx="291">
                  <c:v>21.159264319059208</c:v>
                </c:pt>
                <c:pt idx="292">
                  <c:v>21.159264319059208</c:v>
                </c:pt>
                <c:pt idx="293">
                  <c:v>22.334220944888109</c:v>
                </c:pt>
                <c:pt idx="295">
                  <c:v>22.334220944888109</c:v>
                </c:pt>
                <c:pt idx="296">
                  <c:v>21.119475186803992</c:v>
                </c:pt>
                <c:pt idx="297">
                  <c:v>21.119475186803992</c:v>
                </c:pt>
                <c:pt idx="298">
                  <c:v>22.334220944888109</c:v>
                </c:pt>
                <c:pt idx="300">
                  <c:v>22.334220944888109</c:v>
                </c:pt>
                <c:pt idx="301">
                  <c:v>21.116912182003759</c:v>
                </c:pt>
                <c:pt idx="302">
                  <c:v>21.116912182003759</c:v>
                </c:pt>
                <c:pt idx="303">
                  <c:v>21.604151360830411</c:v>
                </c:pt>
                <c:pt idx="305">
                  <c:v>22.334220944888109</c:v>
                </c:pt>
                <c:pt idx="306">
                  <c:v>21.042622452517797</c:v>
                </c:pt>
                <c:pt idx="307">
                  <c:v>21.042622452517797</c:v>
                </c:pt>
                <c:pt idx="308">
                  <c:v>21.86356886595069</c:v>
                </c:pt>
                <c:pt idx="310">
                  <c:v>22.334220944888109</c:v>
                </c:pt>
                <c:pt idx="311">
                  <c:v>20.959733645173397</c:v>
                </c:pt>
                <c:pt idx="312">
                  <c:v>20.959733645173397</c:v>
                </c:pt>
                <c:pt idx="313">
                  <c:v>21.466995457052281</c:v>
                </c:pt>
                <c:pt idx="315">
                  <c:v>21.86356886595069</c:v>
                </c:pt>
                <c:pt idx="316">
                  <c:v>20.942854282035036</c:v>
                </c:pt>
                <c:pt idx="317">
                  <c:v>20.942854282035036</c:v>
                </c:pt>
                <c:pt idx="318">
                  <c:v>21.689182542612013</c:v>
                </c:pt>
                <c:pt idx="320">
                  <c:v>21.776109649394044</c:v>
                </c:pt>
                <c:pt idx="321">
                  <c:v>20.924582399924276</c:v>
                </c:pt>
                <c:pt idx="322">
                  <c:v>20.924582399924276</c:v>
                </c:pt>
                <c:pt idx="323">
                  <c:v>21.326805571230928</c:v>
                </c:pt>
                <c:pt idx="325">
                  <c:v>22.334220944888109</c:v>
                </c:pt>
                <c:pt idx="326">
                  <c:v>20.875958814022084</c:v>
                </c:pt>
                <c:pt idx="327">
                  <c:v>20.875958814022084</c:v>
                </c:pt>
                <c:pt idx="328">
                  <c:v>21.519027631480579</c:v>
                </c:pt>
                <c:pt idx="330">
                  <c:v>22.334220944888109</c:v>
                </c:pt>
                <c:pt idx="331">
                  <c:v>20.805551776845263</c:v>
                </c:pt>
                <c:pt idx="332">
                  <c:v>20.805551776845263</c:v>
                </c:pt>
                <c:pt idx="333">
                  <c:v>21.24353015468871</c:v>
                </c:pt>
                <c:pt idx="335">
                  <c:v>22.334220944888109</c:v>
                </c:pt>
                <c:pt idx="336">
                  <c:v>20.801016944070568</c:v>
                </c:pt>
                <c:pt idx="337">
                  <c:v>20.801016944070568</c:v>
                </c:pt>
                <c:pt idx="338">
                  <c:v>22.334220944888109</c:v>
                </c:pt>
                <c:pt idx="340">
                  <c:v>22.334220944888109</c:v>
                </c:pt>
                <c:pt idx="341">
                  <c:v>20.762704194053047</c:v>
                </c:pt>
                <c:pt idx="342">
                  <c:v>20.762704194053047</c:v>
                </c:pt>
                <c:pt idx="343">
                  <c:v>21.312979256852795</c:v>
                </c:pt>
                <c:pt idx="345">
                  <c:v>21.403013116450747</c:v>
                </c:pt>
                <c:pt idx="346">
                  <c:v>20.715238935704214</c:v>
                </c:pt>
                <c:pt idx="347">
                  <c:v>20.715238935704214</c:v>
                </c:pt>
                <c:pt idx="348">
                  <c:v>21.159264319059208</c:v>
                </c:pt>
                <c:pt idx="350">
                  <c:v>22.334220944888109</c:v>
                </c:pt>
                <c:pt idx="351">
                  <c:v>20.649019852172025</c:v>
                </c:pt>
                <c:pt idx="352">
                  <c:v>20.649019852172025</c:v>
                </c:pt>
                <c:pt idx="353">
                  <c:v>21.792975968185917</c:v>
                </c:pt>
                <c:pt idx="355">
                  <c:v>21.800757285673775</c:v>
                </c:pt>
                <c:pt idx="356">
                  <c:v>20.64530494927255</c:v>
                </c:pt>
                <c:pt idx="357">
                  <c:v>20.64530494927255</c:v>
                </c:pt>
                <c:pt idx="358">
                  <c:v>21.042622452517797</c:v>
                </c:pt>
                <c:pt idx="360">
                  <c:v>21.86356886595069</c:v>
                </c:pt>
                <c:pt idx="361">
                  <c:v>20.616517718400168</c:v>
                </c:pt>
                <c:pt idx="362">
                  <c:v>20.616517718400168</c:v>
                </c:pt>
                <c:pt idx="363">
                  <c:v>20.959733645173397</c:v>
                </c:pt>
                <c:pt idx="365">
                  <c:v>21.738887922913865</c:v>
                </c:pt>
                <c:pt idx="366">
                  <c:v>20.424263048447568</c:v>
                </c:pt>
                <c:pt idx="367">
                  <c:v>20.424263048447568</c:v>
                </c:pt>
                <c:pt idx="368">
                  <c:v>21.605089879455097</c:v>
                </c:pt>
                <c:pt idx="370">
                  <c:v>22.334220944888109</c:v>
                </c:pt>
                <c:pt idx="371">
                  <c:v>20.284841565764197</c:v>
                </c:pt>
                <c:pt idx="372">
                  <c:v>20.284841565764197</c:v>
                </c:pt>
                <c:pt idx="373">
                  <c:v>21.225700684047613</c:v>
                </c:pt>
                <c:pt idx="375">
                  <c:v>21.738887922913865</c:v>
                </c:pt>
                <c:pt idx="376">
                  <c:v>20.282437391163043</c:v>
                </c:pt>
                <c:pt idx="377">
                  <c:v>20.282437391163043</c:v>
                </c:pt>
                <c:pt idx="378">
                  <c:v>21.605089879455097</c:v>
                </c:pt>
                <c:pt idx="380">
                  <c:v>21.718230170387553</c:v>
                </c:pt>
                <c:pt idx="381">
                  <c:v>20.27493861564264</c:v>
                </c:pt>
                <c:pt idx="382">
                  <c:v>20.27493861564264</c:v>
                </c:pt>
                <c:pt idx="383">
                  <c:v>20.64530494927255</c:v>
                </c:pt>
                <c:pt idx="385">
                  <c:v>21.207390898180154</c:v>
                </c:pt>
                <c:pt idx="386">
                  <c:v>20.152110148323409</c:v>
                </c:pt>
                <c:pt idx="387">
                  <c:v>20.152110148323409</c:v>
                </c:pt>
                <c:pt idx="388">
                  <c:v>20.875958814022084</c:v>
                </c:pt>
                <c:pt idx="390">
                  <c:v>21.565649318370248</c:v>
                </c:pt>
                <c:pt idx="391">
                  <c:v>20.094494285337671</c:v>
                </c:pt>
                <c:pt idx="392">
                  <c:v>20.094494285337671</c:v>
                </c:pt>
                <c:pt idx="393">
                  <c:v>21.565649318370248</c:v>
                </c:pt>
                <c:pt idx="395">
                  <c:v>22.334220944888109</c:v>
                </c:pt>
                <c:pt idx="396">
                  <c:v>20.002132545034801</c:v>
                </c:pt>
                <c:pt idx="397">
                  <c:v>20.002132545034801</c:v>
                </c:pt>
                <c:pt idx="398">
                  <c:v>20.801016944070568</c:v>
                </c:pt>
                <c:pt idx="400">
                  <c:v>22.334220944888109</c:v>
                </c:pt>
                <c:pt idx="401">
                  <c:v>19.903700966488302</c:v>
                </c:pt>
                <c:pt idx="402">
                  <c:v>19.903700966488302</c:v>
                </c:pt>
                <c:pt idx="403">
                  <c:v>21.116912182003759</c:v>
                </c:pt>
                <c:pt idx="405">
                  <c:v>20.924582399924276</c:v>
                </c:pt>
                <c:pt idx="406">
                  <c:v>19.67532862725766</c:v>
                </c:pt>
                <c:pt idx="407">
                  <c:v>19.67532862725766</c:v>
                </c:pt>
                <c:pt idx="408">
                  <c:v>20.616517718400168</c:v>
                </c:pt>
                <c:pt idx="410">
                  <c:v>21.451405954401526</c:v>
                </c:pt>
                <c:pt idx="411">
                  <c:v>19.5533035658983</c:v>
                </c:pt>
                <c:pt idx="412">
                  <c:v>19.5533035658983</c:v>
                </c:pt>
                <c:pt idx="413">
                  <c:v>19.903700966488302</c:v>
                </c:pt>
                <c:pt idx="415">
                  <c:v>20.762704194053047</c:v>
                </c:pt>
                <c:pt idx="416">
                  <c:v>19.509383135615206</c:v>
                </c:pt>
                <c:pt idx="417">
                  <c:v>19.509383135615206</c:v>
                </c:pt>
                <c:pt idx="418">
                  <c:v>20.649019852172025</c:v>
                </c:pt>
                <c:pt idx="420">
                  <c:v>20.805551776845263</c:v>
                </c:pt>
                <c:pt idx="421">
                  <c:v>19.393783534976457</c:v>
                </c:pt>
                <c:pt idx="422">
                  <c:v>19.393783534976457</c:v>
                </c:pt>
                <c:pt idx="423">
                  <c:v>20.002132545034801</c:v>
                </c:pt>
                <c:pt idx="425">
                  <c:v>21.119475186803992</c:v>
                </c:pt>
                <c:pt idx="426">
                  <c:v>19.387472826572232</c:v>
                </c:pt>
                <c:pt idx="427">
                  <c:v>19.387472826572232</c:v>
                </c:pt>
                <c:pt idx="428">
                  <c:v>20.094494285337671</c:v>
                </c:pt>
                <c:pt idx="430">
                  <c:v>20.424263048447568</c:v>
                </c:pt>
                <c:pt idx="431">
                  <c:v>19.159552426090613</c:v>
                </c:pt>
                <c:pt idx="432">
                  <c:v>19.159552426090613</c:v>
                </c:pt>
                <c:pt idx="433">
                  <c:v>20.152110148323409</c:v>
                </c:pt>
                <c:pt idx="435">
                  <c:v>20.715238935704214</c:v>
                </c:pt>
                <c:pt idx="436">
                  <c:v>18.945431856046721</c:v>
                </c:pt>
                <c:pt idx="437">
                  <c:v>18.945431856046721</c:v>
                </c:pt>
                <c:pt idx="438">
                  <c:v>20.284841565764197</c:v>
                </c:pt>
                <c:pt idx="440">
                  <c:v>21.458584096993732</c:v>
                </c:pt>
                <c:pt idx="441">
                  <c:v>18.402730952128511</c:v>
                </c:pt>
                <c:pt idx="442">
                  <c:v>18.402730952128511</c:v>
                </c:pt>
                <c:pt idx="443">
                  <c:v>19.5533035658983</c:v>
                </c:pt>
                <c:pt idx="445">
                  <c:v>20.27493861564264</c:v>
                </c:pt>
                <c:pt idx="446">
                  <c:v>18.066851390946901</c:v>
                </c:pt>
                <c:pt idx="447">
                  <c:v>18.066851390946901</c:v>
                </c:pt>
                <c:pt idx="448">
                  <c:v>19.67532862725766</c:v>
                </c:pt>
                <c:pt idx="450">
                  <c:v>19.509383135615206</c:v>
                </c:pt>
                <c:pt idx="451">
                  <c:v>17.756707743729301</c:v>
                </c:pt>
                <c:pt idx="452">
                  <c:v>17.756707743729301</c:v>
                </c:pt>
                <c:pt idx="453">
                  <c:v>19.387472826572232</c:v>
                </c:pt>
                <c:pt idx="455">
                  <c:v>19.393783534976457</c:v>
                </c:pt>
                <c:pt idx="456">
                  <c:v>17.493535588166559</c:v>
                </c:pt>
                <c:pt idx="457">
                  <c:v>17.493535588166559</c:v>
                </c:pt>
                <c:pt idx="458">
                  <c:v>18.402730952128511</c:v>
                </c:pt>
                <c:pt idx="460">
                  <c:v>20.942854282035036</c:v>
                </c:pt>
                <c:pt idx="461">
                  <c:v>17.445513517421986</c:v>
                </c:pt>
                <c:pt idx="462">
                  <c:v>17.445513517421986</c:v>
                </c:pt>
                <c:pt idx="463">
                  <c:v>19.159552426090613</c:v>
                </c:pt>
                <c:pt idx="465">
                  <c:v>21.590054667420304</c:v>
                </c:pt>
                <c:pt idx="466">
                  <c:v>17.348248184468893</c:v>
                </c:pt>
                <c:pt idx="467">
                  <c:v>17.348248184468893</c:v>
                </c:pt>
                <c:pt idx="468">
                  <c:v>20.282437391163043</c:v>
                </c:pt>
                <c:pt idx="470">
                  <c:v>18.945431856046721</c:v>
                </c:pt>
                <c:pt idx="471">
                  <c:v>15.546653296060295</c:v>
                </c:pt>
                <c:pt idx="472">
                  <c:v>15.546653296060295</c:v>
                </c:pt>
                <c:pt idx="473">
                  <c:v>17.445513517421986</c:v>
                </c:pt>
                <c:pt idx="475">
                  <c:v>17.348248184468893</c:v>
                </c:pt>
                <c:pt idx="476">
                  <c:v>12.662872944242515</c:v>
                </c:pt>
                <c:pt idx="477">
                  <c:v>12.662872944242515</c:v>
                </c:pt>
                <c:pt idx="478">
                  <c:v>15.546653296060295</c:v>
                </c:pt>
                <c:pt idx="480">
                  <c:v>18.066851390946901</c:v>
                </c:pt>
                <c:pt idx="481">
                  <c:v>11.81255029652505</c:v>
                </c:pt>
                <c:pt idx="482">
                  <c:v>11.81255029652505</c:v>
                </c:pt>
                <c:pt idx="483">
                  <c:v>17.756707743729301</c:v>
                </c:pt>
                <c:pt idx="485">
                  <c:v>17.493535588166559</c:v>
                </c:pt>
                <c:pt idx="486">
                  <c:v>9.1915102409667</c:v>
                </c:pt>
                <c:pt idx="487">
                  <c:v>9.1915102409667</c:v>
                </c:pt>
                <c:pt idx="488">
                  <c:v>11.81255029652505</c:v>
                </c:pt>
                <c:pt idx="490">
                  <c:v>12.662872944242515</c:v>
                </c:pt>
                <c:pt idx="491">
                  <c:v>0</c:v>
                </c:pt>
                <c:pt idx="492">
                  <c:v>0</c:v>
                </c:pt>
                <c:pt idx="493">
                  <c:v>9.1915102409667</c:v>
                </c:pt>
              </c:numCache>
            </c:numRef>
          </c:xVal>
          <c:yVal>
            <c:numRef>
              <c:f>'Combined Clustermap'!$BB$144:$BB$638</c:f>
              <c:numCache>
                <c:formatCode>0.000000</c:formatCode>
                <c:ptCount val="495"/>
                <c:pt idx="0">
                  <c:v>96.5</c:v>
                </c:pt>
                <c:pt idx="1">
                  <c:v>96.5</c:v>
                </c:pt>
                <c:pt idx="2">
                  <c:v>95.5</c:v>
                </c:pt>
                <c:pt idx="3">
                  <c:v>95.5</c:v>
                </c:pt>
                <c:pt idx="5">
                  <c:v>97.5</c:v>
                </c:pt>
                <c:pt idx="6">
                  <c:v>97.5</c:v>
                </c:pt>
                <c:pt idx="7">
                  <c:v>96</c:v>
                </c:pt>
                <c:pt idx="8">
                  <c:v>96</c:v>
                </c:pt>
                <c:pt idx="10">
                  <c:v>88.5</c:v>
                </c:pt>
                <c:pt idx="11">
                  <c:v>88.5</c:v>
                </c:pt>
                <c:pt idx="12">
                  <c:v>87.5</c:v>
                </c:pt>
                <c:pt idx="13">
                  <c:v>87.5</c:v>
                </c:pt>
                <c:pt idx="15">
                  <c:v>89.5</c:v>
                </c:pt>
                <c:pt idx="16">
                  <c:v>89.5</c:v>
                </c:pt>
                <c:pt idx="17">
                  <c:v>88</c:v>
                </c:pt>
                <c:pt idx="18">
                  <c:v>88</c:v>
                </c:pt>
                <c:pt idx="20">
                  <c:v>58.5</c:v>
                </c:pt>
                <c:pt idx="21">
                  <c:v>58.5</c:v>
                </c:pt>
                <c:pt idx="22">
                  <c:v>57.5</c:v>
                </c:pt>
                <c:pt idx="23">
                  <c:v>57.5</c:v>
                </c:pt>
                <c:pt idx="25">
                  <c:v>68.5</c:v>
                </c:pt>
                <c:pt idx="26">
                  <c:v>68.5</c:v>
                </c:pt>
                <c:pt idx="27">
                  <c:v>67.5</c:v>
                </c:pt>
                <c:pt idx="28">
                  <c:v>67.5</c:v>
                </c:pt>
                <c:pt idx="30">
                  <c:v>69.5</c:v>
                </c:pt>
                <c:pt idx="31">
                  <c:v>69.5</c:v>
                </c:pt>
                <c:pt idx="32">
                  <c:v>68</c:v>
                </c:pt>
                <c:pt idx="33">
                  <c:v>68</c:v>
                </c:pt>
                <c:pt idx="35">
                  <c:v>70.5</c:v>
                </c:pt>
                <c:pt idx="36">
                  <c:v>70.5</c:v>
                </c:pt>
                <c:pt idx="37">
                  <c:v>68.75</c:v>
                </c:pt>
                <c:pt idx="38">
                  <c:v>68.75</c:v>
                </c:pt>
                <c:pt idx="40">
                  <c:v>86.5</c:v>
                </c:pt>
                <c:pt idx="41">
                  <c:v>86.5</c:v>
                </c:pt>
                <c:pt idx="42">
                  <c:v>85.5</c:v>
                </c:pt>
                <c:pt idx="43">
                  <c:v>85.5</c:v>
                </c:pt>
                <c:pt idx="45">
                  <c:v>91.5</c:v>
                </c:pt>
                <c:pt idx="46">
                  <c:v>91.5</c:v>
                </c:pt>
                <c:pt idx="47">
                  <c:v>90.5</c:v>
                </c:pt>
                <c:pt idx="48">
                  <c:v>90.5</c:v>
                </c:pt>
                <c:pt idx="50">
                  <c:v>92.5</c:v>
                </c:pt>
                <c:pt idx="51">
                  <c:v>92.5</c:v>
                </c:pt>
                <c:pt idx="52">
                  <c:v>91</c:v>
                </c:pt>
                <c:pt idx="53">
                  <c:v>91</c:v>
                </c:pt>
                <c:pt idx="55">
                  <c:v>93.5</c:v>
                </c:pt>
                <c:pt idx="56">
                  <c:v>93.5</c:v>
                </c:pt>
                <c:pt idx="57">
                  <c:v>91.75</c:v>
                </c:pt>
                <c:pt idx="58">
                  <c:v>91.75</c:v>
                </c:pt>
                <c:pt idx="60">
                  <c:v>65.5</c:v>
                </c:pt>
                <c:pt idx="61">
                  <c:v>65.5</c:v>
                </c:pt>
                <c:pt idx="62">
                  <c:v>64.5</c:v>
                </c:pt>
                <c:pt idx="63">
                  <c:v>64.5</c:v>
                </c:pt>
                <c:pt idx="65">
                  <c:v>66.5</c:v>
                </c:pt>
                <c:pt idx="66">
                  <c:v>66.5</c:v>
                </c:pt>
                <c:pt idx="67">
                  <c:v>65</c:v>
                </c:pt>
                <c:pt idx="68">
                  <c:v>65</c:v>
                </c:pt>
                <c:pt idx="70">
                  <c:v>63.5</c:v>
                </c:pt>
                <c:pt idx="71">
                  <c:v>63.5</c:v>
                </c:pt>
                <c:pt idx="72">
                  <c:v>62.5</c:v>
                </c:pt>
                <c:pt idx="73">
                  <c:v>62.5</c:v>
                </c:pt>
                <c:pt idx="75">
                  <c:v>26.5</c:v>
                </c:pt>
                <c:pt idx="76">
                  <c:v>26.5</c:v>
                </c:pt>
                <c:pt idx="77">
                  <c:v>25.5</c:v>
                </c:pt>
                <c:pt idx="78">
                  <c:v>25.5</c:v>
                </c:pt>
                <c:pt idx="80">
                  <c:v>37.5</c:v>
                </c:pt>
                <c:pt idx="81">
                  <c:v>37.5</c:v>
                </c:pt>
                <c:pt idx="82">
                  <c:v>36.5</c:v>
                </c:pt>
                <c:pt idx="83">
                  <c:v>36.5</c:v>
                </c:pt>
                <c:pt idx="85">
                  <c:v>5.5</c:v>
                </c:pt>
                <c:pt idx="86">
                  <c:v>5.5</c:v>
                </c:pt>
                <c:pt idx="87">
                  <c:v>4.5</c:v>
                </c:pt>
                <c:pt idx="88">
                  <c:v>4.5</c:v>
                </c:pt>
                <c:pt idx="90">
                  <c:v>16.5</c:v>
                </c:pt>
                <c:pt idx="91">
                  <c:v>16.5</c:v>
                </c:pt>
                <c:pt idx="92">
                  <c:v>15.5</c:v>
                </c:pt>
                <c:pt idx="93">
                  <c:v>15.5</c:v>
                </c:pt>
                <c:pt idx="95">
                  <c:v>1.5</c:v>
                </c:pt>
                <c:pt idx="96">
                  <c:v>1.5</c:v>
                </c:pt>
                <c:pt idx="97">
                  <c:v>0.5</c:v>
                </c:pt>
                <c:pt idx="98">
                  <c:v>0.5</c:v>
                </c:pt>
                <c:pt idx="100">
                  <c:v>73.5</c:v>
                </c:pt>
                <c:pt idx="101">
                  <c:v>73.5</c:v>
                </c:pt>
                <c:pt idx="102">
                  <c:v>72.5</c:v>
                </c:pt>
                <c:pt idx="103">
                  <c:v>72.5</c:v>
                </c:pt>
                <c:pt idx="105">
                  <c:v>55.5</c:v>
                </c:pt>
                <c:pt idx="106">
                  <c:v>55.5</c:v>
                </c:pt>
                <c:pt idx="107">
                  <c:v>54.5</c:v>
                </c:pt>
                <c:pt idx="108">
                  <c:v>54.5</c:v>
                </c:pt>
                <c:pt idx="110">
                  <c:v>77.5</c:v>
                </c:pt>
                <c:pt idx="111">
                  <c:v>77.5</c:v>
                </c:pt>
                <c:pt idx="112">
                  <c:v>76.5</c:v>
                </c:pt>
                <c:pt idx="113">
                  <c:v>76.5</c:v>
                </c:pt>
                <c:pt idx="115">
                  <c:v>24.5</c:v>
                </c:pt>
                <c:pt idx="116">
                  <c:v>24.5</c:v>
                </c:pt>
                <c:pt idx="117">
                  <c:v>23.5</c:v>
                </c:pt>
                <c:pt idx="118">
                  <c:v>23.5</c:v>
                </c:pt>
                <c:pt idx="120">
                  <c:v>32.5</c:v>
                </c:pt>
                <c:pt idx="121">
                  <c:v>32.5</c:v>
                </c:pt>
                <c:pt idx="122">
                  <c:v>31.5</c:v>
                </c:pt>
                <c:pt idx="123">
                  <c:v>31.5</c:v>
                </c:pt>
                <c:pt idx="125">
                  <c:v>21.5</c:v>
                </c:pt>
                <c:pt idx="126">
                  <c:v>21.5</c:v>
                </c:pt>
                <c:pt idx="127">
                  <c:v>20.5</c:v>
                </c:pt>
                <c:pt idx="128">
                  <c:v>20.5</c:v>
                </c:pt>
                <c:pt idx="130">
                  <c:v>14.5</c:v>
                </c:pt>
                <c:pt idx="131">
                  <c:v>14.5</c:v>
                </c:pt>
                <c:pt idx="132">
                  <c:v>13.5</c:v>
                </c:pt>
                <c:pt idx="133">
                  <c:v>13.5</c:v>
                </c:pt>
                <c:pt idx="135">
                  <c:v>35.5</c:v>
                </c:pt>
                <c:pt idx="136">
                  <c:v>35.5</c:v>
                </c:pt>
                <c:pt idx="137">
                  <c:v>34.5</c:v>
                </c:pt>
                <c:pt idx="138">
                  <c:v>34.5</c:v>
                </c:pt>
                <c:pt idx="140">
                  <c:v>60.5</c:v>
                </c:pt>
                <c:pt idx="141">
                  <c:v>60.5</c:v>
                </c:pt>
                <c:pt idx="142">
                  <c:v>59.5</c:v>
                </c:pt>
                <c:pt idx="143">
                  <c:v>59.5</c:v>
                </c:pt>
                <c:pt idx="145">
                  <c:v>11.5</c:v>
                </c:pt>
                <c:pt idx="146">
                  <c:v>11.5</c:v>
                </c:pt>
                <c:pt idx="147">
                  <c:v>10.5</c:v>
                </c:pt>
                <c:pt idx="148">
                  <c:v>10.5</c:v>
                </c:pt>
                <c:pt idx="150">
                  <c:v>6.5</c:v>
                </c:pt>
                <c:pt idx="151">
                  <c:v>6.5</c:v>
                </c:pt>
                <c:pt idx="152">
                  <c:v>5</c:v>
                </c:pt>
                <c:pt idx="153">
                  <c:v>5</c:v>
                </c:pt>
                <c:pt idx="155">
                  <c:v>2.5</c:v>
                </c:pt>
                <c:pt idx="156">
                  <c:v>2.5</c:v>
                </c:pt>
                <c:pt idx="157">
                  <c:v>1</c:v>
                </c:pt>
                <c:pt idx="158">
                  <c:v>1</c:v>
                </c:pt>
                <c:pt idx="160">
                  <c:v>30.5</c:v>
                </c:pt>
                <c:pt idx="161">
                  <c:v>30.5</c:v>
                </c:pt>
                <c:pt idx="162">
                  <c:v>29.5</c:v>
                </c:pt>
                <c:pt idx="163">
                  <c:v>29.5</c:v>
                </c:pt>
                <c:pt idx="165">
                  <c:v>98.5</c:v>
                </c:pt>
                <c:pt idx="166">
                  <c:v>98.5</c:v>
                </c:pt>
                <c:pt idx="167">
                  <c:v>96.75</c:v>
                </c:pt>
                <c:pt idx="168">
                  <c:v>96.75</c:v>
                </c:pt>
                <c:pt idx="170">
                  <c:v>74.5</c:v>
                </c:pt>
                <c:pt idx="171">
                  <c:v>74.5</c:v>
                </c:pt>
                <c:pt idx="172">
                  <c:v>73</c:v>
                </c:pt>
                <c:pt idx="173">
                  <c:v>73</c:v>
                </c:pt>
                <c:pt idx="175">
                  <c:v>71.5</c:v>
                </c:pt>
                <c:pt idx="176">
                  <c:v>71.5</c:v>
                </c:pt>
                <c:pt idx="177">
                  <c:v>69.625</c:v>
                </c:pt>
                <c:pt idx="178">
                  <c:v>69.625</c:v>
                </c:pt>
                <c:pt idx="180">
                  <c:v>94.5</c:v>
                </c:pt>
                <c:pt idx="181">
                  <c:v>94.5</c:v>
                </c:pt>
                <c:pt idx="182">
                  <c:v>92.625</c:v>
                </c:pt>
                <c:pt idx="183">
                  <c:v>92.625</c:v>
                </c:pt>
                <c:pt idx="185">
                  <c:v>38.5</c:v>
                </c:pt>
                <c:pt idx="186">
                  <c:v>38.5</c:v>
                </c:pt>
                <c:pt idx="187">
                  <c:v>37</c:v>
                </c:pt>
                <c:pt idx="188">
                  <c:v>37</c:v>
                </c:pt>
                <c:pt idx="190">
                  <c:v>27.5</c:v>
                </c:pt>
                <c:pt idx="191">
                  <c:v>27.5</c:v>
                </c:pt>
                <c:pt idx="192">
                  <c:v>26</c:v>
                </c:pt>
                <c:pt idx="193">
                  <c:v>26</c:v>
                </c:pt>
                <c:pt idx="195">
                  <c:v>75.5</c:v>
                </c:pt>
                <c:pt idx="196">
                  <c:v>75.5</c:v>
                </c:pt>
                <c:pt idx="197">
                  <c:v>73.75</c:v>
                </c:pt>
                <c:pt idx="198">
                  <c:v>73.75</c:v>
                </c:pt>
                <c:pt idx="200">
                  <c:v>44.5</c:v>
                </c:pt>
                <c:pt idx="201">
                  <c:v>44.5</c:v>
                </c:pt>
                <c:pt idx="202">
                  <c:v>43.5</c:v>
                </c:pt>
                <c:pt idx="203">
                  <c:v>43.5</c:v>
                </c:pt>
                <c:pt idx="205">
                  <c:v>88.75</c:v>
                </c:pt>
                <c:pt idx="206">
                  <c:v>88.75</c:v>
                </c:pt>
                <c:pt idx="207">
                  <c:v>86</c:v>
                </c:pt>
                <c:pt idx="208">
                  <c:v>86</c:v>
                </c:pt>
                <c:pt idx="210">
                  <c:v>65.75</c:v>
                </c:pt>
                <c:pt idx="211">
                  <c:v>65.75</c:v>
                </c:pt>
                <c:pt idx="212">
                  <c:v>63</c:v>
                </c:pt>
                <c:pt idx="213">
                  <c:v>63</c:v>
                </c:pt>
                <c:pt idx="215">
                  <c:v>40.5</c:v>
                </c:pt>
                <c:pt idx="216">
                  <c:v>40.5</c:v>
                </c:pt>
                <c:pt idx="217">
                  <c:v>39.5</c:v>
                </c:pt>
                <c:pt idx="218">
                  <c:v>39.5</c:v>
                </c:pt>
                <c:pt idx="220">
                  <c:v>99.5</c:v>
                </c:pt>
                <c:pt idx="221">
                  <c:v>99.5</c:v>
                </c:pt>
                <c:pt idx="222">
                  <c:v>97.625</c:v>
                </c:pt>
                <c:pt idx="223">
                  <c:v>97.625</c:v>
                </c:pt>
                <c:pt idx="225">
                  <c:v>7.5</c:v>
                </c:pt>
                <c:pt idx="226">
                  <c:v>7.5</c:v>
                </c:pt>
                <c:pt idx="227">
                  <c:v>5.75</c:v>
                </c:pt>
                <c:pt idx="228">
                  <c:v>5.75</c:v>
                </c:pt>
                <c:pt idx="230">
                  <c:v>3.5</c:v>
                </c:pt>
                <c:pt idx="231">
                  <c:v>3.5</c:v>
                </c:pt>
                <c:pt idx="232">
                  <c:v>1.75</c:v>
                </c:pt>
                <c:pt idx="233">
                  <c:v>1.75</c:v>
                </c:pt>
                <c:pt idx="235">
                  <c:v>56.5</c:v>
                </c:pt>
                <c:pt idx="236">
                  <c:v>56.5</c:v>
                </c:pt>
                <c:pt idx="237">
                  <c:v>55</c:v>
                </c:pt>
                <c:pt idx="238">
                  <c:v>55</c:v>
                </c:pt>
                <c:pt idx="240">
                  <c:v>19.5</c:v>
                </c:pt>
                <c:pt idx="241">
                  <c:v>19.5</c:v>
                </c:pt>
                <c:pt idx="242">
                  <c:v>18.5</c:v>
                </c:pt>
                <c:pt idx="243">
                  <c:v>18.5</c:v>
                </c:pt>
                <c:pt idx="245">
                  <c:v>21</c:v>
                </c:pt>
                <c:pt idx="246">
                  <c:v>21</c:v>
                </c:pt>
                <c:pt idx="247">
                  <c:v>19</c:v>
                </c:pt>
                <c:pt idx="248">
                  <c:v>19</c:v>
                </c:pt>
                <c:pt idx="250">
                  <c:v>47.5</c:v>
                </c:pt>
                <c:pt idx="251">
                  <c:v>47.5</c:v>
                </c:pt>
                <c:pt idx="252">
                  <c:v>46.5</c:v>
                </c:pt>
                <c:pt idx="253">
                  <c:v>46.5</c:v>
                </c:pt>
                <c:pt idx="255">
                  <c:v>45.5</c:v>
                </c:pt>
                <c:pt idx="256">
                  <c:v>45.5</c:v>
                </c:pt>
                <c:pt idx="257">
                  <c:v>44</c:v>
                </c:pt>
                <c:pt idx="258">
                  <c:v>44</c:v>
                </c:pt>
                <c:pt idx="260">
                  <c:v>84.5</c:v>
                </c:pt>
                <c:pt idx="261">
                  <c:v>84.5</c:v>
                </c:pt>
                <c:pt idx="262">
                  <c:v>83.5</c:v>
                </c:pt>
                <c:pt idx="263">
                  <c:v>83.5</c:v>
                </c:pt>
                <c:pt idx="265">
                  <c:v>28.5</c:v>
                </c:pt>
                <c:pt idx="266">
                  <c:v>28.5</c:v>
                </c:pt>
                <c:pt idx="267">
                  <c:v>26.75</c:v>
                </c:pt>
                <c:pt idx="268">
                  <c:v>26.75</c:v>
                </c:pt>
                <c:pt idx="270">
                  <c:v>16</c:v>
                </c:pt>
                <c:pt idx="271">
                  <c:v>16</c:v>
                </c:pt>
                <c:pt idx="272">
                  <c:v>14</c:v>
                </c:pt>
                <c:pt idx="273">
                  <c:v>14</c:v>
                </c:pt>
                <c:pt idx="275">
                  <c:v>52.5</c:v>
                </c:pt>
                <c:pt idx="276">
                  <c:v>52.5</c:v>
                </c:pt>
                <c:pt idx="277">
                  <c:v>51.5</c:v>
                </c:pt>
                <c:pt idx="278">
                  <c:v>51.5</c:v>
                </c:pt>
                <c:pt idx="280">
                  <c:v>79.5</c:v>
                </c:pt>
                <c:pt idx="281">
                  <c:v>79.5</c:v>
                </c:pt>
                <c:pt idx="282">
                  <c:v>78.5</c:v>
                </c:pt>
                <c:pt idx="283">
                  <c:v>78.5</c:v>
                </c:pt>
                <c:pt idx="285">
                  <c:v>61.5</c:v>
                </c:pt>
                <c:pt idx="286">
                  <c:v>61.5</c:v>
                </c:pt>
                <c:pt idx="287">
                  <c:v>60</c:v>
                </c:pt>
                <c:pt idx="288">
                  <c:v>60</c:v>
                </c:pt>
                <c:pt idx="290">
                  <c:v>82.5</c:v>
                </c:pt>
                <c:pt idx="291">
                  <c:v>82.5</c:v>
                </c:pt>
                <c:pt idx="292">
                  <c:v>81.5</c:v>
                </c:pt>
                <c:pt idx="293">
                  <c:v>81.5</c:v>
                </c:pt>
                <c:pt idx="295">
                  <c:v>9.5</c:v>
                </c:pt>
                <c:pt idx="296">
                  <c:v>9.5</c:v>
                </c:pt>
                <c:pt idx="297">
                  <c:v>8.5</c:v>
                </c:pt>
                <c:pt idx="298">
                  <c:v>8.5</c:v>
                </c:pt>
                <c:pt idx="300">
                  <c:v>41.5</c:v>
                </c:pt>
                <c:pt idx="301">
                  <c:v>41.5</c:v>
                </c:pt>
                <c:pt idx="302">
                  <c:v>40</c:v>
                </c:pt>
                <c:pt idx="303">
                  <c:v>40</c:v>
                </c:pt>
                <c:pt idx="305">
                  <c:v>33.5</c:v>
                </c:pt>
                <c:pt idx="306">
                  <c:v>33.5</c:v>
                </c:pt>
                <c:pt idx="307">
                  <c:v>32</c:v>
                </c:pt>
                <c:pt idx="308">
                  <c:v>32</c:v>
                </c:pt>
                <c:pt idx="310">
                  <c:v>22.5</c:v>
                </c:pt>
                <c:pt idx="311">
                  <c:v>22.5</c:v>
                </c:pt>
                <c:pt idx="312">
                  <c:v>20</c:v>
                </c:pt>
                <c:pt idx="313">
                  <c:v>20</c:v>
                </c:pt>
                <c:pt idx="315">
                  <c:v>77</c:v>
                </c:pt>
                <c:pt idx="316">
                  <c:v>77</c:v>
                </c:pt>
                <c:pt idx="317">
                  <c:v>74.625</c:v>
                </c:pt>
                <c:pt idx="318">
                  <c:v>74.625</c:v>
                </c:pt>
                <c:pt idx="320">
                  <c:v>30</c:v>
                </c:pt>
                <c:pt idx="321">
                  <c:v>30</c:v>
                </c:pt>
                <c:pt idx="322">
                  <c:v>27.625</c:v>
                </c:pt>
                <c:pt idx="323">
                  <c:v>27.625</c:v>
                </c:pt>
                <c:pt idx="325">
                  <c:v>58</c:v>
                </c:pt>
                <c:pt idx="326">
                  <c:v>58</c:v>
                </c:pt>
                <c:pt idx="327">
                  <c:v>55.75</c:v>
                </c:pt>
                <c:pt idx="328">
                  <c:v>55.75</c:v>
                </c:pt>
                <c:pt idx="330">
                  <c:v>53.5</c:v>
                </c:pt>
                <c:pt idx="331">
                  <c:v>53.5</c:v>
                </c:pt>
                <c:pt idx="332">
                  <c:v>52</c:v>
                </c:pt>
                <c:pt idx="333">
                  <c:v>52</c:v>
                </c:pt>
                <c:pt idx="335">
                  <c:v>49.5</c:v>
                </c:pt>
                <c:pt idx="336">
                  <c:v>49.5</c:v>
                </c:pt>
                <c:pt idx="337">
                  <c:v>48.5</c:v>
                </c:pt>
                <c:pt idx="338">
                  <c:v>48.5</c:v>
                </c:pt>
                <c:pt idx="340">
                  <c:v>17.5</c:v>
                </c:pt>
                <c:pt idx="341">
                  <c:v>17.5</c:v>
                </c:pt>
                <c:pt idx="342">
                  <c:v>15</c:v>
                </c:pt>
                <c:pt idx="343">
                  <c:v>15</c:v>
                </c:pt>
                <c:pt idx="345">
                  <c:v>84</c:v>
                </c:pt>
                <c:pt idx="346">
                  <c:v>84</c:v>
                </c:pt>
                <c:pt idx="347">
                  <c:v>82</c:v>
                </c:pt>
                <c:pt idx="348">
                  <c:v>82</c:v>
                </c:pt>
                <c:pt idx="350">
                  <c:v>12.5</c:v>
                </c:pt>
                <c:pt idx="351">
                  <c:v>12.5</c:v>
                </c:pt>
                <c:pt idx="352">
                  <c:v>11</c:v>
                </c:pt>
                <c:pt idx="353">
                  <c:v>11</c:v>
                </c:pt>
                <c:pt idx="355">
                  <c:v>35</c:v>
                </c:pt>
                <c:pt idx="356">
                  <c:v>35</c:v>
                </c:pt>
                <c:pt idx="357">
                  <c:v>32.75</c:v>
                </c:pt>
                <c:pt idx="358">
                  <c:v>32.75</c:v>
                </c:pt>
                <c:pt idx="360">
                  <c:v>24</c:v>
                </c:pt>
                <c:pt idx="361">
                  <c:v>24</c:v>
                </c:pt>
                <c:pt idx="362">
                  <c:v>21.25</c:v>
                </c:pt>
                <c:pt idx="363">
                  <c:v>21.25</c:v>
                </c:pt>
                <c:pt idx="365">
                  <c:v>70.5625</c:v>
                </c:pt>
                <c:pt idx="366">
                  <c:v>70.5625</c:v>
                </c:pt>
                <c:pt idx="367">
                  <c:v>64.375</c:v>
                </c:pt>
                <c:pt idx="368">
                  <c:v>64.375</c:v>
                </c:pt>
                <c:pt idx="370">
                  <c:v>80.5</c:v>
                </c:pt>
                <c:pt idx="371">
                  <c:v>80.5</c:v>
                </c:pt>
                <c:pt idx="372">
                  <c:v>79</c:v>
                </c:pt>
                <c:pt idx="373">
                  <c:v>79</c:v>
                </c:pt>
                <c:pt idx="375">
                  <c:v>93.5625</c:v>
                </c:pt>
                <c:pt idx="376">
                  <c:v>93.5625</c:v>
                </c:pt>
                <c:pt idx="377">
                  <c:v>87.375</c:v>
                </c:pt>
                <c:pt idx="378">
                  <c:v>87.375</c:v>
                </c:pt>
                <c:pt idx="380">
                  <c:v>37.75</c:v>
                </c:pt>
                <c:pt idx="381">
                  <c:v>37.75</c:v>
                </c:pt>
                <c:pt idx="382">
                  <c:v>33.875</c:v>
                </c:pt>
                <c:pt idx="383">
                  <c:v>33.875</c:v>
                </c:pt>
                <c:pt idx="385">
                  <c:v>60.75</c:v>
                </c:pt>
                <c:pt idx="386">
                  <c:v>60.75</c:v>
                </c:pt>
                <c:pt idx="387">
                  <c:v>56.875</c:v>
                </c:pt>
                <c:pt idx="388">
                  <c:v>56.875</c:v>
                </c:pt>
                <c:pt idx="390">
                  <c:v>6.625</c:v>
                </c:pt>
                <c:pt idx="391">
                  <c:v>6.625</c:v>
                </c:pt>
                <c:pt idx="392">
                  <c:v>2.625</c:v>
                </c:pt>
                <c:pt idx="393">
                  <c:v>2.625</c:v>
                </c:pt>
                <c:pt idx="395">
                  <c:v>50.5</c:v>
                </c:pt>
                <c:pt idx="396">
                  <c:v>50.5</c:v>
                </c:pt>
                <c:pt idx="397">
                  <c:v>49</c:v>
                </c:pt>
                <c:pt idx="398">
                  <c:v>49</c:v>
                </c:pt>
                <c:pt idx="400">
                  <c:v>42.5</c:v>
                </c:pt>
                <c:pt idx="401">
                  <c:v>42.5</c:v>
                </c:pt>
                <c:pt idx="402">
                  <c:v>40.75</c:v>
                </c:pt>
                <c:pt idx="403">
                  <c:v>40.75</c:v>
                </c:pt>
                <c:pt idx="405">
                  <c:v>28.8125</c:v>
                </c:pt>
                <c:pt idx="406">
                  <c:v>28.8125</c:v>
                </c:pt>
                <c:pt idx="407">
                  <c:v>22.625</c:v>
                </c:pt>
                <c:pt idx="408">
                  <c:v>22.625</c:v>
                </c:pt>
                <c:pt idx="410">
                  <c:v>44.75</c:v>
                </c:pt>
                <c:pt idx="411">
                  <c:v>44.75</c:v>
                </c:pt>
                <c:pt idx="412">
                  <c:v>41.625</c:v>
                </c:pt>
                <c:pt idx="413">
                  <c:v>41.625</c:v>
                </c:pt>
                <c:pt idx="415">
                  <c:v>16.25</c:v>
                </c:pt>
                <c:pt idx="416">
                  <c:v>16.25</c:v>
                </c:pt>
                <c:pt idx="417">
                  <c:v>11.75</c:v>
                </c:pt>
                <c:pt idx="418">
                  <c:v>11.75</c:v>
                </c:pt>
                <c:pt idx="420">
                  <c:v>52.75</c:v>
                </c:pt>
                <c:pt idx="421">
                  <c:v>52.75</c:v>
                </c:pt>
                <c:pt idx="422">
                  <c:v>49.75</c:v>
                </c:pt>
                <c:pt idx="423">
                  <c:v>49.75</c:v>
                </c:pt>
                <c:pt idx="425">
                  <c:v>9</c:v>
                </c:pt>
                <c:pt idx="426">
                  <c:v>9</c:v>
                </c:pt>
                <c:pt idx="427">
                  <c:v>4.625</c:v>
                </c:pt>
                <c:pt idx="428">
                  <c:v>4.625</c:v>
                </c:pt>
                <c:pt idx="430">
                  <c:v>67.46875</c:v>
                </c:pt>
                <c:pt idx="431">
                  <c:v>67.46875</c:v>
                </c:pt>
                <c:pt idx="432">
                  <c:v>58.8125</c:v>
                </c:pt>
                <c:pt idx="433">
                  <c:v>58.8125</c:v>
                </c:pt>
                <c:pt idx="435">
                  <c:v>83</c:v>
                </c:pt>
                <c:pt idx="436">
                  <c:v>83</c:v>
                </c:pt>
                <c:pt idx="437">
                  <c:v>79.75</c:v>
                </c:pt>
                <c:pt idx="438">
                  <c:v>79.75</c:v>
                </c:pt>
                <c:pt idx="440">
                  <c:v>47</c:v>
                </c:pt>
                <c:pt idx="441">
                  <c:v>47</c:v>
                </c:pt>
                <c:pt idx="442">
                  <c:v>43.1875</c:v>
                </c:pt>
                <c:pt idx="443">
                  <c:v>43.1875</c:v>
                </c:pt>
                <c:pt idx="445">
                  <c:v>35.8125</c:v>
                </c:pt>
                <c:pt idx="446">
                  <c:v>35.8125</c:v>
                </c:pt>
                <c:pt idx="447">
                  <c:v>25.71875</c:v>
                </c:pt>
                <c:pt idx="448">
                  <c:v>25.71875</c:v>
                </c:pt>
                <c:pt idx="450">
                  <c:v>14</c:v>
                </c:pt>
                <c:pt idx="451">
                  <c:v>14</c:v>
                </c:pt>
                <c:pt idx="452">
                  <c:v>6.8125</c:v>
                </c:pt>
                <c:pt idx="453">
                  <c:v>6.8125</c:v>
                </c:pt>
                <c:pt idx="455">
                  <c:v>51.25</c:v>
                </c:pt>
                <c:pt idx="456">
                  <c:v>51.25</c:v>
                </c:pt>
                <c:pt idx="457">
                  <c:v>45.09375</c:v>
                </c:pt>
                <c:pt idx="458">
                  <c:v>45.09375</c:v>
                </c:pt>
                <c:pt idx="460">
                  <c:v>75.8125</c:v>
                </c:pt>
                <c:pt idx="461">
                  <c:v>75.8125</c:v>
                </c:pt>
                <c:pt idx="462">
                  <c:v>63.140625</c:v>
                </c:pt>
                <c:pt idx="463">
                  <c:v>63.140625</c:v>
                </c:pt>
                <c:pt idx="465">
                  <c:v>98.5625</c:v>
                </c:pt>
                <c:pt idx="466">
                  <c:v>98.5625</c:v>
                </c:pt>
                <c:pt idx="467">
                  <c:v>90.46875</c:v>
                </c:pt>
                <c:pt idx="468">
                  <c:v>90.46875</c:v>
                </c:pt>
                <c:pt idx="470">
                  <c:v>81.375</c:v>
                </c:pt>
                <c:pt idx="471">
                  <c:v>81.375</c:v>
                </c:pt>
                <c:pt idx="472">
                  <c:v>69.4765625</c:v>
                </c:pt>
                <c:pt idx="473">
                  <c:v>69.4765625</c:v>
                </c:pt>
                <c:pt idx="475">
                  <c:v>94.515625</c:v>
                </c:pt>
                <c:pt idx="476">
                  <c:v>94.515625</c:v>
                </c:pt>
                <c:pt idx="477">
                  <c:v>75.42578125</c:v>
                </c:pt>
                <c:pt idx="478">
                  <c:v>75.42578125</c:v>
                </c:pt>
                <c:pt idx="480">
                  <c:v>30.765625</c:v>
                </c:pt>
                <c:pt idx="481">
                  <c:v>30.765625</c:v>
                </c:pt>
                <c:pt idx="482">
                  <c:v>10.40625</c:v>
                </c:pt>
                <c:pt idx="483">
                  <c:v>10.40625</c:v>
                </c:pt>
                <c:pt idx="485">
                  <c:v>48.171875</c:v>
                </c:pt>
                <c:pt idx="486">
                  <c:v>48.171875</c:v>
                </c:pt>
                <c:pt idx="487">
                  <c:v>20.5859375</c:v>
                </c:pt>
                <c:pt idx="488">
                  <c:v>20.5859375</c:v>
                </c:pt>
                <c:pt idx="490">
                  <c:v>84.970703125</c:v>
                </c:pt>
                <c:pt idx="491">
                  <c:v>84.970703125</c:v>
                </c:pt>
                <c:pt idx="492">
                  <c:v>34.37890625</c:v>
                </c:pt>
                <c:pt idx="493">
                  <c:v>34.37890625</c:v>
                </c:pt>
              </c:numCache>
            </c:numRef>
          </c:yVal>
          <c:smooth val="0"/>
          <c:extLst>
            <c:ext xmlns:c16="http://schemas.microsoft.com/office/drawing/2014/chart" uri="{C3380CC4-5D6E-409C-BE32-E72D297353CC}">
              <c16:uniqueId val="{00000000-4289-4020-A7F5-AF7633DF48CD}"/>
            </c:ext>
          </c:extLst>
        </c:ser>
        <c:dLbls>
          <c:showLegendKey val="0"/>
          <c:showVal val="0"/>
          <c:showCatName val="0"/>
          <c:showSerName val="0"/>
          <c:showPercent val="0"/>
          <c:showBubbleSize val="0"/>
        </c:dLbls>
        <c:axId val="50010001"/>
        <c:axId val="50010002"/>
      </c:scatterChart>
      <c:valAx>
        <c:axId val="50010001"/>
        <c:scaling>
          <c:orientation val="minMax"/>
          <c:max val="22.334220944888106"/>
          <c:min val="0"/>
        </c:scaling>
        <c:delete val="1"/>
        <c:axPos val="b"/>
        <c:numFmt formatCode="0.000000" sourceLinked="1"/>
        <c:majorTickMark val="none"/>
        <c:minorTickMark val="none"/>
        <c:tickLblPos val="none"/>
        <c:crossAx val="50010002"/>
        <c:crosses val="autoZero"/>
        <c:crossBetween val="midCat"/>
      </c:valAx>
      <c:valAx>
        <c:axId val="50010002"/>
        <c:scaling>
          <c:orientation val="minMax"/>
          <c:max val="100"/>
          <c:min val="0"/>
        </c:scaling>
        <c:delete val="1"/>
        <c:axPos val="l"/>
        <c:numFmt formatCode="0.000000" sourceLinked="1"/>
        <c:majorTickMark val="none"/>
        <c:minorTickMark val="none"/>
        <c:tickLblPos val="none"/>
        <c:crossAx val="50010001"/>
        <c:crosses val="autoZero"/>
        <c:crossBetween val="midCat"/>
      </c:valAx>
      <c:spPr>
        <a:noFill/>
        <a:ln>
          <a:noFill/>
        </a:ln>
      </c:spPr>
    </c:plotArea>
    <c:plotVisOnly val="1"/>
    <c:dispBlanksAs val="gap"/>
    <c:showDLblsOverMax val="0"/>
  </c:chart>
  <c:spPr>
    <a:no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scatterChart>
        <c:scatterStyle val="lineMarker"/>
        <c:varyColors val="0"/>
        <c:ser>
          <c:idx val="0"/>
          <c:order val="0"/>
          <c:tx>
            <c:v>Feature dendrogram • Ward / Euclidean</c:v>
          </c:tx>
          <c:spPr>
            <a:ln w="9525">
              <a:solidFill>
                <a:srgbClr val="657584"/>
              </a:solidFill>
            </a:ln>
          </c:spPr>
          <c:marker>
            <c:symbol val="none"/>
          </c:marker>
          <c:xVal>
            <c:numRef>
              <c:f>'Combined Clustermap'!$BF$144:$BF$168</c:f>
              <c:numCache>
                <c:formatCode>0.000000</c:formatCode>
                <c:ptCount val="25"/>
                <c:pt idx="0">
                  <c:v>1.5</c:v>
                </c:pt>
                <c:pt idx="1">
                  <c:v>1.5</c:v>
                </c:pt>
                <c:pt idx="2">
                  <c:v>2.5</c:v>
                </c:pt>
                <c:pt idx="3">
                  <c:v>2.5</c:v>
                </c:pt>
                <c:pt idx="5">
                  <c:v>4.5</c:v>
                </c:pt>
                <c:pt idx="6">
                  <c:v>4.5</c:v>
                </c:pt>
                <c:pt idx="7">
                  <c:v>5.5</c:v>
                </c:pt>
                <c:pt idx="8">
                  <c:v>5.5</c:v>
                </c:pt>
                <c:pt idx="10">
                  <c:v>0.5</c:v>
                </c:pt>
                <c:pt idx="11">
                  <c:v>0.5</c:v>
                </c:pt>
                <c:pt idx="12">
                  <c:v>2</c:v>
                </c:pt>
                <c:pt idx="13">
                  <c:v>2</c:v>
                </c:pt>
                <c:pt idx="15">
                  <c:v>3.5</c:v>
                </c:pt>
                <c:pt idx="16">
                  <c:v>3.5</c:v>
                </c:pt>
                <c:pt idx="17">
                  <c:v>5</c:v>
                </c:pt>
                <c:pt idx="18">
                  <c:v>5</c:v>
                </c:pt>
                <c:pt idx="20">
                  <c:v>1.25</c:v>
                </c:pt>
                <c:pt idx="21">
                  <c:v>1.25</c:v>
                </c:pt>
                <c:pt idx="22">
                  <c:v>4.25</c:v>
                </c:pt>
                <c:pt idx="23">
                  <c:v>4.25</c:v>
                </c:pt>
              </c:numCache>
            </c:numRef>
          </c:xVal>
          <c:yVal>
            <c:numRef>
              <c:f>'Combined Clustermap'!$BG$144:$BG$168</c:f>
              <c:numCache>
                <c:formatCode>0.000000</c:formatCode>
                <c:ptCount val="25"/>
                <c:pt idx="0">
                  <c:v>0</c:v>
                </c:pt>
                <c:pt idx="1">
                  <c:v>4.6163944994489459</c:v>
                </c:pt>
                <c:pt idx="2">
                  <c:v>4.6163944994489459</c:v>
                </c:pt>
                <c:pt idx="3">
                  <c:v>0</c:v>
                </c:pt>
                <c:pt idx="5">
                  <c:v>0</c:v>
                </c:pt>
                <c:pt idx="6">
                  <c:v>7.6404944914629827</c:v>
                </c:pt>
                <c:pt idx="7">
                  <c:v>7.6404944914629827</c:v>
                </c:pt>
                <c:pt idx="8">
                  <c:v>0</c:v>
                </c:pt>
                <c:pt idx="10">
                  <c:v>0</c:v>
                </c:pt>
                <c:pt idx="11">
                  <c:v>8.1643668915705181</c:v>
                </c:pt>
                <c:pt idx="12">
                  <c:v>8.1643668915705181</c:v>
                </c:pt>
                <c:pt idx="13">
                  <c:v>4.6163944994489459</c:v>
                </c:pt>
                <c:pt idx="15">
                  <c:v>0</c:v>
                </c:pt>
                <c:pt idx="16">
                  <c:v>12.398770696858829</c:v>
                </c:pt>
                <c:pt idx="17">
                  <c:v>12.398770696858829</c:v>
                </c:pt>
                <c:pt idx="18">
                  <c:v>7.6404944914629827</c:v>
                </c:pt>
                <c:pt idx="20">
                  <c:v>8.1643668915705181</c:v>
                </c:pt>
                <c:pt idx="21">
                  <c:v>25.94813979293534</c:v>
                </c:pt>
                <c:pt idx="22">
                  <c:v>25.94813979293534</c:v>
                </c:pt>
                <c:pt idx="23">
                  <c:v>12.398770696858829</c:v>
                </c:pt>
              </c:numCache>
            </c:numRef>
          </c:yVal>
          <c:smooth val="0"/>
          <c:extLst>
            <c:ext xmlns:c16="http://schemas.microsoft.com/office/drawing/2014/chart" uri="{C3380CC4-5D6E-409C-BE32-E72D297353CC}">
              <c16:uniqueId val="{00000000-3798-40BD-9BBF-5381799D9DE9}"/>
            </c:ext>
          </c:extLst>
        </c:ser>
        <c:dLbls>
          <c:showLegendKey val="0"/>
          <c:showVal val="0"/>
          <c:showCatName val="0"/>
          <c:showSerName val="0"/>
          <c:showPercent val="0"/>
          <c:showBubbleSize val="0"/>
        </c:dLbls>
        <c:axId val="50020001"/>
        <c:axId val="50020002"/>
      </c:scatterChart>
      <c:valAx>
        <c:axId val="50020001"/>
        <c:scaling>
          <c:orientation val="minMax"/>
          <c:max val="6"/>
          <c:min val="0"/>
        </c:scaling>
        <c:delete val="1"/>
        <c:axPos val="b"/>
        <c:numFmt formatCode="0.000000" sourceLinked="1"/>
        <c:majorTickMark val="none"/>
        <c:minorTickMark val="none"/>
        <c:tickLblPos val="none"/>
        <c:crossAx val="50020002"/>
        <c:crosses val="autoZero"/>
        <c:crossBetween val="midCat"/>
      </c:valAx>
      <c:valAx>
        <c:axId val="50020002"/>
        <c:scaling>
          <c:orientation val="minMax"/>
          <c:max val="27.245546782582107"/>
          <c:min val="0"/>
        </c:scaling>
        <c:delete val="1"/>
        <c:axPos val="l"/>
        <c:numFmt formatCode="0.000000" sourceLinked="1"/>
        <c:majorTickMark val="none"/>
        <c:minorTickMark val="none"/>
        <c:tickLblPos val="none"/>
        <c:crossAx val="50020001"/>
        <c:crosses val="autoZero"/>
        <c:crossBetween val="midCat"/>
      </c:valAx>
      <c:spPr>
        <a:noFill/>
        <a:ln>
          <a:noFill/>
        </a:ln>
      </c:spPr>
    </c:plotArea>
    <c:plotVisOnly val="1"/>
    <c:dispBlanksAs val="gap"/>
    <c:showDLblsOverMax val="0"/>
  </c:chart>
  <c:spPr>
    <a:no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0</xdr:col>
      <xdr:colOff>174171</xdr:colOff>
      <xdr:row>13</xdr:row>
      <xdr:rowOff>0</xdr:rowOff>
    </xdr:from>
    <xdr:to>
      <xdr:col>1</xdr:col>
      <xdr:colOff>1485900</xdr:colOff>
      <xdr:row>113</xdr:row>
      <xdr:rowOff>0</xdr:rowOff>
    </xdr:to>
    <xdr:graphicFrame macro="">
      <xdr:nvGraphicFramePr>
        <xdr:cNvPr id="2" name="Chart 1" descr="Editable sample dendrogram: 100 pooled observations, Ward linkage, Euclidean distance; aligned to heatmap rows.">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0</xdr:colOff>
      <xdr:row>6</xdr:row>
      <xdr:rowOff>0</xdr:rowOff>
    </xdr:from>
    <xdr:to>
      <xdr:col>12</xdr:col>
      <xdr:colOff>0</xdr:colOff>
      <xdr:row>12</xdr:row>
      <xdr:rowOff>0</xdr:rowOff>
    </xdr:to>
    <xdr:graphicFrame macro="">
      <xdr:nvGraphicFramePr>
        <xdr:cNvPr id="3" name="Chart 2" descr="Editable feature dendrogram: six standardized feature vectors across 100 observations.">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ourceData" displayName="SourceData" ref="O16:X116" totalsRowShown="0">
  <tableColumns count="10">
    <tableColumn id="1" xr3:uid="{00000000-0010-0000-0000-000001000000}" name="Source_row"/>
    <tableColumn id="2" xr3:uid="{00000000-0010-0000-0000-000002000000}" name="Sample_ID"/>
    <tableColumn id="3" xr3:uid="{00000000-0010-0000-0000-000003000000}" name="Group_ID"/>
    <tableColumn id="4" xr3:uid="{00000000-0010-0000-0000-000004000000}" name="Study_Duration"/>
    <tableColumn id="5" xr3:uid="{00000000-0010-0000-0000-000005000000}" name="IL-6"/>
    <tableColumn id="6" xr3:uid="{00000000-0010-0000-0000-000006000000}" name="iNOS"/>
    <tableColumn id="7" xr3:uid="{00000000-0010-0000-0000-000007000000}" name="BDNF_SUP"/>
    <tableColumn id="8" xr3:uid="{00000000-0010-0000-0000-000008000000}" name="Nrf-2"/>
    <tableColumn id="9" xr3:uid="{00000000-0010-0000-0000-000009000000}" name="hypalg_aft"/>
    <tableColumn id="10" xr3:uid="{00000000-0010-0000-0000-00000A000000}" name="hypalg_rel"/>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rderedHeatmap" displayName="OrderedHeatmap" ref="Z16:AK116" totalsRowShown="0">
  <tableColumns count="12">
    <tableColumn id="1" xr3:uid="{00000000-0010-0000-0100-000001000000}" name="Leaf_position"/>
    <tableColumn id="2" xr3:uid="{00000000-0010-0000-0100-000002000000}" name="Source_row"/>
    <tableColumn id="3" xr3:uid="{00000000-0010-0000-0100-000003000000}" name="Sample_ID"/>
    <tableColumn id="4" xr3:uid="{00000000-0010-0000-0100-000004000000}" name="Group_ID"/>
    <tableColumn id="5" xr3:uid="{00000000-0010-0000-0100-000005000000}" name="Study_Duration"/>
    <tableColumn id="6" xr3:uid="{00000000-0010-0000-0100-000006000000}" name="IL-6"/>
    <tableColumn id="7" xr3:uid="{00000000-0010-0000-0100-000007000000}" name="iNOS"/>
    <tableColumn id="8" xr3:uid="{00000000-0010-0000-0100-000008000000}" name="BDNF_SUP"/>
    <tableColumn id="9" xr3:uid="{00000000-0010-0000-0100-000009000000}" name="Nrf-2"/>
    <tableColumn id="10" xr3:uid="{00000000-0010-0000-0100-00000A000000}" name="hypalg_aft"/>
    <tableColumn id="11" xr3:uid="{00000000-0010-0000-0100-00000B000000}" name="hypalg_rel"/>
    <tableColumn id="12" xr3:uid="{00000000-0010-0000-0100-00000C000000}" name="Y_center">
      <calculatedColumnFormula>100.5-Z17</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eatureOrder" displayName="FeatureOrder" ref="Z122:AC128" totalsRowShown="0">
  <tableColumns count="4">
    <tableColumn id="1" xr3:uid="{00000000-0010-0000-0200-000001000000}" name="Feature_node"/>
    <tableColumn id="2" xr3:uid="{00000000-0010-0000-0200-000002000000}" name="Feature"/>
    <tableColumn id="3" xr3:uid="{00000000-0010-0000-0200-000003000000}" name="Leaf_position"/>
    <tableColumn id="4" xr3:uid="{00000000-0010-0000-0200-000004000000}" name="X_center">
      <calculatedColumnFormula>AB123-0.5</calculatedColumnFormula>
    </tableColumn>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owLinkage" displayName="RowLinkage" ref="AM143:AW242" totalsRowShown="0">
  <tableColumns count="11">
    <tableColumn id="1" xr3:uid="{00000000-0010-0000-0300-000001000000}" name="Merge_step"/>
    <tableColumn id="2" xr3:uid="{00000000-0010-0000-0300-000002000000}" name="Node_ID"/>
    <tableColumn id="3" xr3:uid="{00000000-0010-0000-0300-000003000000}" name="Left_node"/>
    <tableColumn id="4" xr3:uid="{00000000-0010-0000-0300-000004000000}" name="Right_node"/>
    <tableColumn id="5" xr3:uid="{00000000-0010-0000-0300-000005000000}" name="Ward_height"/>
    <tableColumn id="6" xr3:uid="{00000000-0010-0000-0300-000006000000}" name="Leaf_count"/>
    <tableColumn id="7" xr3:uid="{00000000-0010-0000-0300-000007000000}" name="Left_center"/>
    <tableColumn id="8" xr3:uid="{00000000-0010-0000-0300-000008000000}" name="Right_center"/>
    <tableColumn id="9" xr3:uid="{00000000-0010-0000-0300-000009000000}" name="Node_center"/>
    <tableColumn id="10" xr3:uid="{00000000-0010-0000-0300-00000A000000}" name="Left_height"/>
    <tableColumn id="11" xr3:uid="{00000000-0010-0000-0300-00000B000000}" name="Right_height"/>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eatureLinkage" displayName="FeatureLinkage" ref="AM249:AW254" totalsRowShown="0">
  <tableColumns count="11">
    <tableColumn id="1" xr3:uid="{00000000-0010-0000-0400-000001000000}" name="Merge_step"/>
    <tableColumn id="2" xr3:uid="{00000000-0010-0000-0400-000002000000}" name="Node_ID"/>
    <tableColumn id="3" xr3:uid="{00000000-0010-0000-0400-000003000000}" name="Left_node"/>
    <tableColumn id="4" xr3:uid="{00000000-0010-0000-0400-000004000000}" name="Right_node"/>
    <tableColumn id="5" xr3:uid="{00000000-0010-0000-0400-000005000000}" name="Ward_height"/>
    <tableColumn id="6" xr3:uid="{00000000-0010-0000-0400-000006000000}" name="Leaf_count"/>
    <tableColumn id="7" xr3:uid="{00000000-0010-0000-0400-000007000000}" name="Left_center"/>
    <tableColumn id="8" xr3:uid="{00000000-0010-0000-0400-000008000000}" name="Right_center"/>
    <tableColumn id="9" xr3:uid="{00000000-0010-0000-0400-000009000000}" name="Node_center"/>
    <tableColumn id="10" xr3:uid="{00000000-0010-0000-0400-00000A000000}" name="Left_height"/>
    <tableColumn id="11" xr3:uid="{00000000-0010-0000-0400-00000B000000}" name="Right_height"/>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ampleBranchPoints" displayName="SampleBranchPoints" ref="AY143:BB638" totalsRowShown="0">
  <tableColumns count="4">
    <tableColumn id="1" xr3:uid="{00000000-0010-0000-0500-000001000000}" name="Node_ID"/>
    <tableColumn id="2" xr3:uid="{00000000-0010-0000-0500-000002000000}" name="Point"/>
    <tableColumn id="3" xr3:uid="{00000000-0010-0000-0500-000003000000}" name="X"/>
    <tableColumn id="4" xr3:uid="{00000000-0010-0000-0500-000004000000}" name="Y"/>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eatureBranchPoints" displayName="FeatureBranchPoints" ref="BD143:BG168" totalsRowShown="0">
  <tableColumns count="4">
    <tableColumn id="1" xr3:uid="{00000000-0010-0000-0600-000001000000}" name="Node_ID"/>
    <tableColumn id="2" xr3:uid="{00000000-0010-0000-0600-000002000000}" name="Point"/>
    <tableColumn id="3" xr3:uid="{00000000-0010-0000-0600-000003000000}" name="X"/>
    <tableColumn id="4" xr3:uid="{00000000-0010-0000-0600-000004000000}" name="Y"/>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FeatureQC" displayName="FeatureQC" ref="O122:X128" totalsRowShown="0">
  <tableColumns count="10">
    <tableColumn id="1" xr3:uid="{00000000-0010-0000-0700-000001000000}" name="Feature"/>
    <tableColumn id="2" xr3:uid="{00000000-0010-0000-0700-000002000000}" name="N"/>
    <tableColumn id="3" xr3:uid="{00000000-0010-0000-0700-000003000000}" name="Mean"/>
    <tableColumn id="4" xr3:uid="{00000000-0010-0000-0700-000004000000}" name="SD (population)"/>
    <tableColumn id="5" xr3:uid="{00000000-0010-0000-0700-000005000000}" name="SD (sample)"/>
    <tableColumn id="6" xr3:uid="{00000000-0010-0000-0700-000006000000}" name="Minimum"/>
    <tableColumn id="7" xr3:uid="{00000000-0010-0000-0700-000007000000}" name="Maximum"/>
    <tableColumn id="8" xr3:uid="{00000000-0010-0000-0700-000008000000}" name="Below -2"/>
    <tableColumn id="9" xr3:uid="{00000000-0010-0000-0700-000009000000}" name="Above +2"/>
    <tableColumn id="10" xr3:uid="{00000000-0010-0000-0700-00000A000000}" name="Missing"/>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CohortCounts" displayName="CohortCounts" ref="O133:Q154" totalsRowShown="0">
  <tableColumns count="3">
    <tableColumn id="1" xr3:uid="{00000000-0010-0000-0800-000001000000}" name="Group_ID"/>
    <tableColumn id="2" xr3:uid="{00000000-0010-0000-0800-000002000000}" name="Weeks"/>
    <tableColumn id="3" xr3:uid="{00000000-0010-0000-0800-000003000000}" name="N"/>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table" Target="../tables/table1.xml"/><Relationship Id="rId7" Type="http://schemas.openxmlformats.org/officeDocument/2006/relationships/table" Target="../tables/table5.xml"/><Relationship Id="rId12"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table" Target="../tables/table4.xml"/><Relationship Id="rId11" Type="http://schemas.openxmlformats.org/officeDocument/2006/relationships/table" Target="../tables/table9.xml"/><Relationship Id="rId5" Type="http://schemas.openxmlformats.org/officeDocument/2006/relationships/table" Target="../tables/table3.xml"/><Relationship Id="rId10" Type="http://schemas.openxmlformats.org/officeDocument/2006/relationships/table" Target="../tables/table8.xml"/><Relationship Id="rId4" Type="http://schemas.openxmlformats.org/officeDocument/2006/relationships/table" Target="../tables/table2.xml"/><Relationship Id="rId9"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2B2"/>
    <pageSetUpPr fitToPage="1"/>
  </sheetPr>
  <dimension ref="A1:BG638"/>
  <sheetViews>
    <sheetView showGridLines="0" showRowColHeaders="0" tabSelected="1" topLeftCell="A62" zoomScale="98" zoomScaleNormal="85" workbookViewId="0">
      <selection activeCell="O4" sqref="O1:X11"/>
    </sheetView>
  </sheetViews>
  <sheetFormatPr defaultRowHeight="15" x14ac:dyDescent="0.25"/>
  <cols>
    <col min="1" max="1" width="2.5703125" customWidth="1"/>
    <col min="2" max="2" width="22.28515625" customWidth="1"/>
    <col min="3" max="3" width="6" customWidth="1"/>
    <col min="4" max="5" width="2.85546875" customWidth="1"/>
    <col min="6" max="6" width="1.140625" customWidth="1"/>
    <col min="7" max="12" width="14.7109375" customWidth="1"/>
    <col min="13" max="13" width="2.5703125" customWidth="1"/>
    <col min="14" max="14" width="4.28515625" customWidth="1"/>
    <col min="15" max="24" width="15" customWidth="1"/>
    <col min="25" max="25" width="3.42578125" customWidth="1"/>
    <col min="26" max="37" width="15" customWidth="1"/>
    <col min="38" max="38" width="3.42578125" customWidth="1"/>
    <col min="39" max="49" width="15" customWidth="1"/>
    <col min="50" max="50" width="3.42578125" customWidth="1"/>
    <col min="51" max="54" width="15" customWidth="1"/>
    <col min="55" max="55" width="3.42578125" customWidth="1"/>
    <col min="56" max="59" width="15" customWidth="1"/>
    <col min="60" max="60" width="3.42578125" customWidth="1"/>
  </cols>
  <sheetData>
    <row r="1" spans="1:37" ht="18" customHeight="1" x14ac:dyDescent="0.25">
      <c r="A1" s="1"/>
      <c r="B1" s="31" t="s">
        <v>0</v>
      </c>
      <c r="C1" s="31"/>
      <c r="D1" s="31"/>
      <c r="E1" s="31"/>
      <c r="F1" s="31"/>
      <c r="G1" s="31"/>
      <c r="H1" s="31"/>
      <c r="I1" s="31"/>
      <c r="J1" s="31"/>
      <c r="K1" s="31"/>
      <c r="L1" s="31"/>
      <c r="M1" s="1"/>
      <c r="O1" s="37" t="s">
        <v>19</v>
      </c>
      <c r="P1" s="37"/>
      <c r="Q1" s="37"/>
      <c r="R1" s="37"/>
      <c r="S1" s="37"/>
      <c r="T1" s="37"/>
      <c r="U1" s="37"/>
      <c r="V1" s="37"/>
      <c r="W1" s="37"/>
      <c r="X1" s="37"/>
    </row>
    <row r="2" spans="1:37" ht="24" customHeight="1" x14ac:dyDescent="0.25">
      <c r="A2" s="1"/>
      <c r="B2" s="32" t="s">
        <v>1</v>
      </c>
      <c r="C2" s="32"/>
      <c r="D2" s="32"/>
      <c r="E2" s="32"/>
      <c r="F2" s="32"/>
      <c r="G2" s="32"/>
      <c r="H2" s="32"/>
      <c r="I2" s="32"/>
      <c r="J2" s="32"/>
      <c r="K2" s="32"/>
      <c r="L2" s="32"/>
      <c r="M2" s="1"/>
      <c r="O2" s="38" t="s">
        <v>20</v>
      </c>
      <c r="P2" s="38"/>
      <c r="Q2" s="38"/>
      <c r="R2" s="38"/>
      <c r="S2" s="38"/>
      <c r="T2" s="38"/>
      <c r="U2" s="38"/>
      <c r="V2" s="38"/>
      <c r="W2" s="38"/>
      <c r="X2" s="38"/>
    </row>
    <row r="3" spans="1:37" ht="24" customHeight="1" x14ac:dyDescent="0.25">
      <c r="A3" s="1"/>
      <c r="B3" s="32" t="s">
        <v>2</v>
      </c>
      <c r="C3" s="32"/>
      <c r="D3" s="32"/>
      <c r="E3" s="32"/>
      <c r="F3" s="32"/>
      <c r="G3" s="32"/>
      <c r="H3" s="32"/>
      <c r="I3" s="32"/>
      <c r="J3" s="32"/>
      <c r="K3" s="32"/>
      <c r="L3" s="32"/>
      <c r="M3" s="1"/>
      <c r="O3" s="39" t="s">
        <v>21</v>
      </c>
      <c r="P3" s="39"/>
      <c r="Q3" s="39"/>
      <c r="R3" s="39"/>
      <c r="T3" s="39" t="s">
        <v>22</v>
      </c>
      <c r="U3" s="39"/>
      <c r="V3" s="39"/>
      <c r="W3" s="39"/>
      <c r="X3" s="39"/>
    </row>
    <row r="4" spans="1:37" ht="18" customHeight="1" x14ac:dyDescent="0.25">
      <c r="A4" s="1"/>
      <c r="B4" s="33" t="s">
        <v>3</v>
      </c>
      <c r="C4" s="33"/>
      <c r="D4" s="33"/>
      <c r="E4" s="33"/>
      <c r="F4" s="33"/>
      <c r="G4" s="33"/>
      <c r="H4" s="33"/>
      <c r="I4" s="33"/>
      <c r="J4" s="33"/>
      <c r="K4" s="33"/>
      <c r="L4" s="33"/>
      <c r="M4" s="1"/>
      <c r="O4" s="40" t="s">
        <v>23</v>
      </c>
      <c r="P4" s="40"/>
      <c r="Q4" s="40"/>
      <c r="R4" s="40"/>
      <c r="S4" s="40"/>
      <c r="T4" s="40"/>
      <c r="U4" s="40"/>
      <c r="V4" s="40"/>
      <c r="W4" s="40"/>
      <c r="X4" s="40"/>
    </row>
    <row r="5" spans="1:37" ht="19.5" customHeight="1" x14ac:dyDescent="0.25">
      <c r="A5" s="1"/>
      <c r="B5" s="34" t="s">
        <v>4</v>
      </c>
      <c r="C5" s="34"/>
      <c r="D5" s="34"/>
      <c r="E5" s="34"/>
      <c r="F5" s="34"/>
      <c r="G5" s="34"/>
      <c r="H5" s="34"/>
      <c r="I5" s="34"/>
      <c r="J5" s="34"/>
      <c r="K5" s="34"/>
      <c r="L5" s="3" t="s">
        <v>5</v>
      </c>
      <c r="M5" s="1"/>
      <c r="O5" s="40"/>
      <c r="P5" s="40"/>
      <c r="Q5" s="40"/>
      <c r="R5" s="40"/>
      <c r="S5" s="40"/>
      <c r="T5" s="40"/>
      <c r="U5" s="40"/>
      <c r="V5" s="40"/>
      <c r="W5" s="40"/>
      <c r="X5" s="40"/>
    </row>
    <row r="6" spans="1:37" ht="10.5" customHeight="1" x14ac:dyDescent="0.25">
      <c r="A6" s="1"/>
      <c r="B6" s="35"/>
      <c r="C6" s="35"/>
      <c r="D6" s="35"/>
      <c r="E6" s="35"/>
      <c r="F6" s="35"/>
      <c r="G6" s="35"/>
      <c r="H6" s="35"/>
      <c r="I6" s="35"/>
      <c r="J6" s="35"/>
      <c r="K6" s="35"/>
      <c r="L6" s="35"/>
      <c r="M6" s="1"/>
      <c r="O6" s="41" t="s">
        <v>24</v>
      </c>
      <c r="P6" s="41"/>
      <c r="Q6" s="41"/>
      <c r="R6" s="41"/>
      <c r="S6" s="41"/>
      <c r="T6" s="41"/>
      <c r="U6" s="41"/>
      <c r="V6" s="41"/>
      <c r="W6" s="41"/>
      <c r="X6" s="41"/>
    </row>
    <row r="7" spans="1:37" x14ac:dyDescent="0.25">
      <c r="A7" s="1"/>
      <c r="B7" s="36" t="s">
        <v>6</v>
      </c>
      <c r="C7" s="36"/>
      <c r="D7" s="36"/>
      <c r="E7" s="36"/>
      <c r="F7" s="36"/>
      <c r="G7" s="1"/>
      <c r="H7" s="1"/>
      <c r="I7" s="1"/>
      <c r="J7" s="1"/>
      <c r="K7" s="1"/>
      <c r="L7" s="1"/>
      <c r="M7" s="1"/>
      <c r="O7" s="41"/>
      <c r="P7" s="41"/>
      <c r="Q7" s="41"/>
      <c r="R7" s="41"/>
      <c r="S7" s="41"/>
      <c r="T7" s="41"/>
      <c r="U7" s="41"/>
      <c r="V7" s="41"/>
      <c r="W7" s="41"/>
      <c r="X7" s="41"/>
    </row>
    <row r="8" spans="1:37" x14ac:dyDescent="0.25">
      <c r="A8" s="1"/>
      <c r="B8" s="36"/>
      <c r="C8" s="36"/>
      <c r="D8" s="36"/>
      <c r="E8" s="36"/>
      <c r="F8" s="36"/>
      <c r="G8" s="1"/>
      <c r="H8" s="1"/>
      <c r="I8" s="1"/>
      <c r="J8" s="1"/>
      <c r="K8" s="1"/>
      <c r="L8" s="1"/>
      <c r="M8" s="1"/>
      <c r="O8" s="42" t="s">
        <v>25</v>
      </c>
      <c r="P8" s="42"/>
      <c r="Q8" s="42"/>
      <c r="R8" s="42"/>
      <c r="S8" s="42"/>
      <c r="T8" s="42"/>
      <c r="U8" s="42"/>
      <c r="V8" s="42"/>
      <c r="W8" s="42"/>
      <c r="X8" s="42"/>
    </row>
    <row r="9" spans="1:37" x14ac:dyDescent="0.25">
      <c r="A9" s="1"/>
      <c r="B9" s="34" t="s">
        <v>7</v>
      </c>
      <c r="C9" s="34"/>
      <c r="D9" s="34"/>
      <c r="E9" s="34"/>
      <c r="F9" s="34"/>
      <c r="G9" s="1"/>
      <c r="H9" s="1"/>
      <c r="I9" s="1"/>
      <c r="J9" s="1"/>
      <c r="K9" s="1"/>
      <c r="L9" s="1"/>
      <c r="M9" s="1"/>
      <c r="O9" s="42"/>
      <c r="P9" s="42"/>
      <c r="Q9" s="42"/>
      <c r="R9" s="42"/>
      <c r="S9" s="42"/>
      <c r="T9" s="42"/>
      <c r="U9" s="42"/>
      <c r="V9" s="42"/>
      <c r="W9" s="42"/>
      <c r="X9" s="42"/>
    </row>
    <row r="10" spans="1:37" x14ac:dyDescent="0.25">
      <c r="A10" s="1"/>
      <c r="B10" s="34"/>
      <c r="C10" s="34"/>
      <c r="D10" s="34"/>
      <c r="E10" s="34"/>
      <c r="F10" s="34"/>
      <c r="G10" s="1"/>
      <c r="H10" s="1"/>
      <c r="I10" s="1"/>
      <c r="J10" s="1"/>
      <c r="K10" s="1"/>
      <c r="L10" s="1"/>
      <c r="M10" s="1"/>
      <c r="O10" s="40" t="s">
        <v>26</v>
      </c>
      <c r="P10" s="40"/>
      <c r="Q10" s="40"/>
      <c r="R10" s="40"/>
      <c r="S10" s="40"/>
      <c r="T10" s="40"/>
      <c r="U10" s="40"/>
      <c r="V10" s="40"/>
      <c r="W10" s="40"/>
      <c r="X10" s="40"/>
    </row>
    <row r="11" spans="1:37" x14ac:dyDescent="0.25">
      <c r="A11" s="1"/>
      <c r="B11" s="34" t="s">
        <v>8</v>
      </c>
      <c r="C11" s="34"/>
      <c r="D11" s="34"/>
      <c r="E11" s="34"/>
      <c r="F11" s="34"/>
      <c r="G11" s="1"/>
      <c r="H11" s="1"/>
      <c r="I11" s="1"/>
      <c r="J11" s="1"/>
      <c r="K11" s="1"/>
      <c r="L11" s="1"/>
      <c r="M11" s="1"/>
      <c r="O11" s="40"/>
      <c r="P11" s="40"/>
      <c r="Q11" s="40"/>
      <c r="R11" s="40"/>
      <c r="S11" s="40"/>
      <c r="T11" s="40"/>
      <c r="U11" s="40"/>
      <c r="V11" s="40"/>
      <c r="W11" s="40"/>
      <c r="X11" s="40"/>
    </row>
    <row r="12" spans="1:37" x14ac:dyDescent="0.25">
      <c r="A12" s="1"/>
      <c r="B12" s="34"/>
      <c r="C12" s="34"/>
      <c r="D12" s="34"/>
      <c r="E12" s="34"/>
      <c r="F12" s="34"/>
      <c r="G12" s="1"/>
      <c r="H12" s="1"/>
      <c r="I12" s="1"/>
      <c r="J12" s="1"/>
      <c r="K12" s="1"/>
      <c r="L12" s="1"/>
      <c r="M12" s="1"/>
    </row>
    <row r="13" spans="1:37" ht="21" customHeight="1" x14ac:dyDescent="0.25">
      <c r="A13" s="1"/>
      <c r="B13" s="4" t="s">
        <v>9</v>
      </c>
      <c r="C13" s="5" t="s">
        <v>10</v>
      </c>
      <c r="D13" s="5" t="s">
        <v>11</v>
      </c>
      <c r="E13" s="5" t="s">
        <v>12</v>
      </c>
      <c r="F13" s="1"/>
      <c r="G13" s="6" t="s">
        <v>13</v>
      </c>
      <c r="H13" s="6" t="s">
        <v>14</v>
      </c>
      <c r="I13" s="6" t="s">
        <v>15</v>
      </c>
      <c r="J13" s="6" t="s">
        <v>16</v>
      </c>
      <c r="K13" s="6" t="s">
        <v>17</v>
      </c>
      <c r="L13" s="6" t="s">
        <v>18</v>
      </c>
      <c r="M13" s="1"/>
      <c r="O13" s="39" t="s">
        <v>27</v>
      </c>
      <c r="P13" s="39"/>
      <c r="Q13" s="39"/>
      <c r="R13" s="39"/>
      <c r="T13" s="39" t="s">
        <v>28</v>
      </c>
      <c r="U13" s="39"/>
      <c r="V13" s="39"/>
      <c r="W13" s="39"/>
      <c r="X13" s="39"/>
    </row>
    <row r="14" spans="1:37" ht="7.5" customHeight="1" x14ac:dyDescent="0.25">
      <c r="A14" s="1"/>
      <c r="B14" s="1"/>
      <c r="C14" s="7" t="str">
        <f>$AB$17</f>
        <v>S001</v>
      </c>
      <c r="D14" s="8">
        <f>$AC$17</f>
        <v>6</v>
      </c>
      <c r="E14" s="8">
        <f>$AD$17</f>
        <v>4</v>
      </c>
      <c r="F14" s="1"/>
      <c r="G14" s="9">
        <f>$AE$17</f>
        <v>2.0677264929288852</v>
      </c>
      <c r="H14" s="9">
        <f>$AF$17</f>
        <v>1.128186076740755</v>
      </c>
      <c r="I14" s="9">
        <f>$AG$17</f>
        <v>1.542043452626586</v>
      </c>
      <c r="J14" s="9">
        <f>$AH$17</f>
        <v>-1.334103751630215</v>
      </c>
      <c r="K14" s="9">
        <f>$AI$17</f>
        <v>-1.3366519041822751</v>
      </c>
      <c r="L14" s="9">
        <f>$AJ$17</f>
        <v>-0.57535625145443958</v>
      </c>
      <c r="M14" s="1"/>
    </row>
    <row r="15" spans="1:37" ht="7.5" customHeight="1" x14ac:dyDescent="0.25">
      <c r="A15" s="1"/>
      <c r="B15" s="1"/>
      <c r="C15" s="7" t="str">
        <f>$AB$18</f>
        <v>S002</v>
      </c>
      <c r="D15" s="8">
        <f>$AC$18</f>
        <v>6</v>
      </c>
      <c r="E15" s="8">
        <f>$AD$18</f>
        <v>4</v>
      </c>
      <c r="F15" s="1"/>
      <c r="G15" s="9">
        <f>$AE$18</f>
        <v>2.0677264929288852</v>
      </c>
      <c r="H15" s="9">
        <f>$AF$18</f>
        <v>1.128186076740755</v>
      </c>
      <c r="I15" s="9">
        <f>$AG$18</f>
        <v>1.542043452626586</v>
      </c>
      <c r="J15" s="9">
        <f>$AH$18</f>
        <v>-1.334103751630215</v>
      </c>
      <c r="K15" s="9">
        <f>$AI$18</f>
        <v>-0.39534774630743341</v>
      </c>
      <c r="L15" s="9">
        <f>$AJ$18</f>
        <v>-0.57535625145443958</v>
      </c>
      <c r="M15" s="1"/>
      <c r="O15" s="2" t="s">
        <v>29</v>
      </c>
      <c r="P15" s="2"/>
      <c r="Q15" s="2"/>
      <c r="R15" s="2"/>
      <c r="S15" s="2"/>
      <c r="T15" s="2"/>
      <c r="U15" s="2"/>
      <c r="V15" s="2"/>
      <c r="W15" s="2"/>
      <c r="X15" s="2"/>
      <c r="Z15" s="2" t="s">
        <v>30</v>
      </c>
      <c r="AA15" s="2"/>
      <c r="AB15" s="2"/>
      <c r="AC15" s="2"/>
      <c r="AD15" s="2"/>
      <c r="AE15" s="2"/>
      <c r="AF15" s="2"/>
      <c r="AG15" s="2"/>
      <c r="AH15" s="2"/>
      <c r="AI15" s="2"/>
      <c r="AJ15" s="2"/>
      <c r="AK15" s="2"/>
    </row>
    <row r="16" spans="1:37" ht="7.5" customHeight="1" x14ac:dyDescent="0.25">
      <c r="A16" s="1"/>
      <c r="B16" s="1"/>
      <c r="C16" s="7" t="str">
        <f>$AB$19</f>
        <v>S005</v>
      </c>
      <c r="D16" s="8">
        <f>$AC$19</f>
        <v>6</v>
      </c>
      <c r="E16" s="8">
        <f>$AD$19</f>
        <v>4</v>
      </c>
      <c r="F16" s="1"/>
      <c r="G16" s="9">
        <f>$AE$19</f>
        <v>2.0677264929288852</v>
      </c>
      <c r="H16" s="9">
        <f>$AF$19</f>
        <v>1.128186076740755</v>
      </c>
      <c r="I16" s="9">
        <f>$AG$19</f>
        <v>1.542043452626586</v>
      </c>
      <c r="J16" s="9">
        <f>$AH$19</f>
        <v>-1.334103751630215</v>
      </c>
      <c r="K16" s="9">
        <f>$AI$19</f>
        <v>-0.8659998252448543</v>
      </c>
      <c r="L16" s="9">
        <f>$AJ$19</f>
        <v>-0.57535625145443958</v>
      </c>
      <c r="M16" s="1"/>
      <c r="O16" s="26" t="s">
        <v>34</v>
      </c>
      <c r="P16" s="26" t="s">
        <v>35</v>
      </c>
      <c r="Q16" s="26" t="s">
        <v>36</v>
      </c>
      <c r="R16" s="26" t="s">
        <v>37</v>
      </c>
      <c r="S16" s="26" t="s">
        <v>13</v>
      </c>
      <c r="T16" s="26" t="s">
        <v>14</v>
      </c>
      <c r="U16" s="26" t="s">
        <v>15</v>
      </c>
      <c r="V16" s="26" t="s">
        <v>16</v>
      </c>
      <c r="W16" s="26" t="s">
        <v>17</v>
      </c>
      <c r="X16" s="26" t="s">
        <v>18</v>
      </c>
      <c r="Z16" s="26" t="s">
        <v>138</v>
      </c>
      <c r="AA16" s="26" t="s">
        <v>34</v>
      </c>
      <c r="AB16" s="26" t="s">
        <v>35</v>
      </c>
      <c r="AC16" s="26" t="s">
        <v>36</v>
      </c>
      <c r="AD16" s="26" t="s">
        <v>37</v>
      </c>
      <c r="AE16" s="26" t="s">
        <v>13</v>
      </c>
      <c r="AF16" s="26" t="s">
        <v>14</v>
      </c>
      <c r="AG16" s="26" t="s">
        <v>15</v>
      </c>
      <c r="AH16" s="26" t="s">
        <v>16</v>
      </c>
      <c r="AI16" s="26" t="s">
        <v>17</v>
      </c>
      <c r="AJ16" s="26" t="s">
        <v>18</v>
      </c>
      <c r="AK16" s="26" t="s">
        <v>139</v>
      </c>
    </row>
    <row r="17" spans="1:37" ht="7.5" customHeight="1" x14ac:dyDescent="0.25">
      <c r="A17" s="1"/>
      <c r="B17" s="1"/>
      <c r="C17" s="7" t="str">
        <f>$AB$20</f>
        <v>S003</v>
      </c>
      <c r="D17" s="8">
        <f>$AC$20</f>
        <v>6</v>
      </c>
      <c r="E17" s="8">
        <f>$AD$20</f>
        <v>4</v>
      </c>
      <c r="F17" s="1"/>
      <c r="G17" s="9">
        <f>$AE$20</f>
        <v>2.0677264929288852</v>
      </c>
      <c r="H17" s="9">
        <f>$AF$20</f>
        <v>1.128186076740755</v>
      </c>
      <c r="I17" s="9">
        <f>$AG$20</f>
        <v>1.542043452626586</v>
      </c>
      <c r="J17" s="9">
        <f>$AH$20</f>
        <v>-1.334103751630215</v>
      </c>
      <c r="K17" s="9">
        <f>$AI$20</f>
        <v>-0.8659998252448543</v>
      </c>
      <c r="L17" s="9">
        <f>$AJ$20</f>
        <v>-0.57535625145443958</v>
      </c>
      <c r="M17" s="1"/>
      <c r="O17" s="27">
        <v>1</v>
      </c>
      <c r="P17" s="28" t="s">
        <v>38</v>
      </c>
      <c r="Q17" s="27">
        <v>6</v>
      </c>
      <c r="R17" s="27">
        <v>4</v>
      </c>
      <c r="S17" s="29">
        <v>2.0677264929288852</v>
      </c>
      <c r="T17" s="29">
        <v>1.128186076740755</v>
      </c>
      <c r="U17" s="29">
        <v>1.542043452626586</v>
      </c>
      <c r="V17" s="29">
        <v>-1.334103751630215</v>
      </c>
      <c r="W17" s="29">
        <v>-1.3366519041822751</v>
      </c>
      <c r="X17" s="29">
        <v>-0.57535625145443958</v>
      </c>
      <c r="Z17" s="27">
        <v>1</v>
      </c>
      <c r="AA17" s="27">
        <v>1</v>
      </c>
      <c r="AB17" s="28" t="str">
        <f>$P$17</f>
        <v>S001</v>
      </c>
      <c r="AC17" s="27">
        <f>$Q$17</f>
        <v>6</v>
      </c>
      <c r="AD17" s="27">
        <f>$R$17</f>
        <v>4</v>
      </c>
      <c r="AE17" s="29">
        <f>$S$17</f>
        <v>2.0677264929288852</v>
      </c>
      <c r="AF17" s="29">
        <f>$T$17</f>
        <v>1.128186076740755</v>
      </c>
      <c r="AG17" s="29">
        <f>$U$17</f>
        <v>1.542043452626586</v>
      </c>
      <c r="AH17" s="29">
        <f>$V$17</f>
        <v>-1.334103751630215</v>
      </c>
      <c r="AI17" s="29">
        <f>$W$17</f>
        <v>-1.3366519041822751</v>
      </c>
      <c r="AJ17" s="29">
        <f>$X$17</f>
        <v>-0.57535625145443958</v>
      </c>
      <c r="AK17" s="29">
        <f t="shared" ref="AK17:AK48" si="0">100.5-Z17</f>
        <v>99.5</v>
      </c>
    </row>
    <row r="18" spans="1:37" ht="7.5" customHeight="1" x14ac:dyDescent="0.25">
      <c r="A18" s="1"/>
      <c r="B18" s="1"/>
      <c r="C18" s="7" t="str">
        <f>$AB$21</f>
        <v>S004</v>
      </c>
      <c r="D18" s="8">
        <f>$AC$21</f>
        <v>6</v>
      </c>
      <c r="E18" s="8">
        <f>$AD$21</f>
        <v>4</v>
      </c>
      <c r="F18" s="1"/>
      <c r="G18" s="9">
        <f>$AE$21</f>
        <v>2.0677264929288852</v>
      </c>
      <c r="H18" s="9">
        <f>$AF$21</f>
        <v>1.128186076740755</v>
      </c>
      <c r="I18" s="9">
        <f>$AG$21</f>
        <v>1.542043452626586</v>
      </c>
      <c r="J18" s="9">
        <f>$AH$21</f>
        <v>-1.334103751630215</v>
      </c>
      <c r="K18" s="9">
        <f>$AI$21</f>
        <v>-0.8659998252448543</v>
      </c>
      <c r="L18" s="9">
        <f>$AJ$21</f>
        <v>-0.57535625145443958</v>
      </c>
      <c r="M18" s="1"/>
      <c r="O18" s="27">
        <v>2</v>
      </c>
      <c r="P18" s="28" t="s">
        <v>39</v>
      </c>
      <c r="Q18" s="27">
        <v>6</v>
      </c>
      <c r="R18" s="27">
        <v>4</v>
      </c>
      <c r="S18" s="29">
        <v>2.0677264929288852</v>
      </c>
      <c r="T18" s="29">
        <v>1.128186076740755</v>
      </c>
      <c r="U18" s="29">
        <v>1.542043452626586</v>
      </c>
      <c r="V18" s="29">
        <v>-1.334103751630215</v>
      </c>
      <c r="W18" s="29">
        <v>-0.39534774630743341</v>
      </c>
      <c r="X18" s="29">
        <v>-0.57535625145443958</v>
      </c>
      <c r="Z18" s="27">
        <v>2</v>
      </c>
      <c r="AA18" s="27">
        <v>2</v>
      </c>
      <c r="AB18" s="28" t="str">
        <f>$P$18</f>
        <v>S002</v>
      </c>
      <c r="AC18" s="27">
        <f>$Q$18</f>
        <v>6</v>
      </c>
      <c r="AD18" s="27">
        <f>$R$18</f>
        <v>4</v>
      </c>
      <c r="AE18" s="29">
        <f>$S$18</f>
        <v>2.0677264929288852</v>
      </c>
      <c r="AF18" s="29">
        <f>$T$18</f>
        <v>1.128186076740755</v>
      </c>
      <c r="AG18" s="29">
        <f>$U$18</f>
        <v>1.542043452626586</v>
      </c>
      <c r="AH18" s="29">
        <f>$V$18</f>
        <v>-1.334103751630215</v>
      </c>
      <c r="AI18" s="29">
        <f>$W$18</f>
        <v>-0.39534774630743341</v>
      </c>
      <c r="AJ18" s="29">
        <f>$X$18</f>
        <v>-0.57535625145443958</v>
      </c>
      <c r="AK18" s="29">
        <f t="shared" si="0"/>
        <v>98.5</v>
      </c>
    </row>
    <row r="19" spans="1:37" ht="7.5" customHeight="1" x14ac:dyDescent="0.25">
      <c r="A19" s="1"/>
      <c r="B19" s="1"/>
      <c r="C19" s="7" t="str">
        <f>$AB$22</f>
        <v>S006</v>
      </c>
      <c r="D19" s="8">
        <f>$AC$22</f>
        <v>2</v>
      </c>
      <c r="E19" s="8">
        <f>$AD$22</f>
        <v>4</v>
      </c>
      <c r="F19" s="1"/>
      <c r="G19" s="9">
        <f>$AE$22</f>
        <v>2.9085564880930601E-2</v>
      </c>
      <c r="H19" s="9">
        <f>$AF$22</f>
        <v>1.5550337274718511</v>
      </c>
      <c r="I19" s="9">
        <f>$AG$22</f>
        <v>1.997151888020396</v>
      </c>
      <c r="J19" s="9">
        <f>$AH$22</f>
        <v>-1.983965828096433</v>
      </c>
      <c r="K19" s="9">
        <f>$AI$22</f>
        <v>-1.3366519041822751</v>
      </c>
      <c r="L19" s="9">
        <f>$AJ$22</f>
        <v>-0.57535625145443958</v>
      </c>
      <c r="M19" s="1"/>
      <c r="O19" s="27">
        <v>3</v>
      </c>
      <c r="P19" s="28" t="s">
        <v>40</v>
      </c>
      <c r="Q19" s="27">
        <v>6</v>
      </c>
      <c r="R19" s="27">
        <v>4</v>
      </c>
      <c r="S19" s="29">
        <v>2.0677264929288852</v>
      </c>
      <c r="T19" s="29">
        <v>1.128186076740755</v>
      </c>
      <c r="U19" s="29">
        <v>1.542043452626586</v>
      </c>
      <c r="V19" s="29">
        <v>-1.334103751630215</v>
      </c>
      <c r="W19" s="29">
        <v>-0.8659998252448543</v>
      </c>
      <c r="X19" s="29">
        <v>-0.57535625145443958</v>
      </c>
      <c r="Z19" s="27">
        <v>3</v>
      </c>
      <c r="AA19" s="27">
        <v>5</v>
      </c>
      <c r="AB19" s="28" t="str">
        <f>$P$21</f>
        <v>S005</v>
      </c>
      <c r="AC19" s="27">
        <f>$Q$21</f>
        <v>6</v>
      </c>
      <c r="AD19" s="27">
        <f>$R$21</f>
        <v>4</v>
      </c>
      <c r="AE19" s="29">
        <f>$S$21</f>
        <v>2.0677264929288852</v>
      </c>
      <c r="AF19" s="29">
        <f>$T$21</f>
        <v>1.128186076740755</v>
      </c>
      <c r="AG19" s="29">
        <f>$U$21</f>
        <v>1.542043452626586</v>
      </c>
      <c r="AH19" s="29">
        <f>$V$21</f>
        <v>-1.334103751630215</v>
      </c>
      <c r="AI19" s="29">
        <f>$W$21</f>
        <v>-0.8659998252448543</v>
      </c>
      <c r="AJ19" s="29">
        <f>$X$21</f>
        <v>-0.57535625145443958</v>
      </c>
      <c r="AK19" s="29">
        <f t="shared" si="0"/>
        <v>97.5</v>
      </c>
    </row>
    <row r="20" spans="1:37" ht="7.5" customHeight="1" x14ac:dyDescent="0.25">
      <c r="A20" s="1"/>
      <c r="B20" s="1"/>
      <c r="C20" s="7" t="str">
        <f>$AB$23</f>
        <v>S010</v>
      </c>
      <c r="D20" s="8">
        <f>$AC$23</f>
        <v>2</v>
      </c>
      <c r="E20" s="8">
        <f>$AD$23</f>
        <v>4</v>
      </c>
      <c r="F20" s="1"/>
      <c r="G20" s="9">
        <f>$AE$23</f>
        <v>2.9085564880930601E-2</v>
      </c>
      <c r="H20" s="9">
        <f>$AF$23</f>
        <v>1.5550337274718511</v>
      </c>
      <c r="I20" s="9">
        <f>$AG$23</f>
        <v>1.997151888020396</v>
      </c>
      <c r="J20" s="9">
        <f>$AH$23</f>
        <v>-1.983965828096433</v>
      </c>
      <c r="K20" s="9">
        <f>$AI$23</f>
        <v>-0.8659998252448543</v>
      </c>
      <c r="L20" s="9">
        <f>$AJ$23</f>
        <v>-0.57535625145443958</v>
      </c>
      <c r="M20" s="1"/>
      <c r="O20" s="27">
        <v>4</v>
      </c>
      <c r="P20" s="28" t="s">
        <v>41</v>
      </c>
      <c r="Q20" s="27">
        <v>6</v>
      </c>
      <c r="R20" s="27">
        <v>4</v>
      </c>
      <c r="S20" s="29">
        <v>2.0677264929288852</v>
      </c>
      <c r="T20" s="29">
        <v>1.128186076740755</v>
      </c>
      <c r="U20" s="29">
        <v>1.542043452626586</v>
      </c>
      <c r="V20" s="29">
        <v>-1.334103751630215</v>
      </c>
      <c r="W20" s="29">
        <v>-0.8659998252448543</v>
      </c>
      <c r="X20" s="29">
        <v>-0.57535625145443958</v>
      </c>
      <c r="Z20" s="27">
        <v>4</v>
      </c>
      <c r="AA20" s="27">
        <v>3</v>
      </c>
      <c r="AB20" s="28" t="str">
        <f>$P$19</f>
        <v>S003</v>
      </c>
      <c r="AC20" s="27">
        <f>$Q$19</f>
        <v>6</v>
      </c>
      <c r="AD20" s="27">
        <f>$R$19</f>
        <v>4</v>
      </c>
      <c r="AE20" s="29">
        <f>$S$19</f>
        <v>2.0677264929288852</v>
      </c>
      <c r="AF20" s="29">
        <f>$T$19</f>
        <v>1.128186076740755</v>
      </c>
      <c r="AG20" s="29">
        <f>$U$19</f>
        <v>1.542043452626586</v>
      </c>
      <c r="AH20" s="29">
        <f>$V$19</f>
        <v>-1.334103751630215</v>
      </c>
      <c r="AI20" s="29">
        <f>$W$19</f>
        <v>-0.8659998252448543</v>
      </c>
      <c r="AJ20" s="29">
        <f>$X$19</f>
        <v>-0.57535625145443958</v>
      </c>
      <c r="AK20" s="29">
        <f t="shared" si="0"/>
        <v>96.5</v>
      </c>
    </row>
    <row r="21" spans="1:37" ht="7.5" customHeight="1" x14ac:dyDescent="0.25">
      <c r="A21" s="1"/>
      <c r="B21" s="1"/>
      <c r="C21" s="7" t="str">
        <f>$AB$24</f>
        <v>S009</v>
      </c>
      <c r="D21" s="8">
        <f>$AC$24</f>
        <v>2</v>
      </c>
      <c r="E21" s="8">
        <f>$AD$24</f>
        <v>4</v>
      </c>
      <c r="F21" s="1"/>
      <c r="G21" s="9">
        <f>$AE$24</f>
        <v>2.9085564880930601E-2</v>
      </c>
      <c r="H21" s="9">
        <f>$AF$24</f>
        <v>1.5550337274718511</v>
      </c>
      <c r="I21" s="9">
        <f>$AG$24</f>
        <v>1.997151888020396</v>
      </c>
      <c r="J21" s="9">
        <f>$AH$24</f>
        <v>-1.983965828096433</v>
      </c>
      <c r="K21" s="9">
        <f>$AI$24</f>
        <v>-0.8659998252448543</v>
      </c>
      <c r="L21" s="9">
        <f>$AJ$24</f>
        <v>-0.57535625145443958</v>
      </c>
      <c r="M21" s="1"/>
      <c r="O21" s="27">
        <v>5</v>
      </c>
      <c r="P21" s="28" t="s">
        <v>42</v>
      </c>
      <c r="Q21" s="27">
        <v>6</v>
      </c>
      <c r="R21" s="27">
        <v>4</v>
      </c>
      <c r="S21" s="29">
        <v>2.0677264929288852</v>
      </c>
      <c r="T21" s="29">
        <v>1.128186076740755</v>
      </c>
      <c r="U21" s="29">
        <v>1.542043452626586</v>
      </c>
      <c r="V21" s="29">
        <v>-1.334103751630215</v>
      </c>
      <c r="W21" s="29">
        <v>-0.8659998252448543</v>
      </c>
      <c r="X21" s="29">
        <v>-0.57535625145443958</v>
      </c>
      <c r="Z21" s="27">
        <v>5</v>
      </c>
      <c r="AA21" s="27">
        <v>4</v>
      </c>
      <c r="AB21" s="28" t="str">
        <f>$P$20</f>
        <v>S004</v>
      </c>
      <c r="AC21" s="27">
        <f>$Q$20</f>
        <v>6</v>
      </c>
      <c r="AD21" s="27">
        <f>$R$20</f>
        <v>4</v>
      </c>
      <c r="AE21" s="29">
        <f>$S$20</f>
        <v>2.0677264929288852</v>
      </c>
      <c r="AF21" s="29">
        <f>$T$20</f>
        <v>1.128186076740755</v>
      </c>
      <c r="AG21" s="29">
        <f>$U$20</f>
        <v>1.542043452626586</v>
      </c>
      <c r="AH21" s="29">
        <f>$V$20</f>
        <v>-1.334103751630215</v>
      </c>
      <c r="AI21" s="29">
        <f>$W$20</f>
        <v>-0.8659998252448543</v>
      </c>
      <c r="AJ21" s="29">
        <f>$X$20</f>
        <v>-0.57535625145443958</v>
      </c>
      <c r="AK21" s="29">
        <f t="shared" si="0"/>
        <v>95.5</v>
      </c>
    </row>
    <row r="22" spans="1:37" ht="7.5" customHeight="1" x14ac:dyDescent="0.25">
      <c r="A22" s="1"/>
      <c r="B22" s="1"/>
      <c r="C22" s="7" t="str">
        <f>$AB$25</f>
        <v>S007</v>
      </c>
      <c r="D22" s="8">
        <f>$AC$25</f>
        <v>2</v>
      </c>
      <c r="E22" s="8">
        <f>$AD$25</f>
        <v>4</v>
      </c>
      <c r="F22" s="1"/>
      <c r="G22" s="9">
        <f>$AE$25</f>
        <v>2.9085564880930601E-2</v>
      </c>
      <c r="H22" s="9">
        <f>$AF$25</f>
        <v>1.5550337274718511</v>
      </c>
      <c r="I22" s="9">
        <f>$AG$25</f>
        <v>1.997151888020396</v>
      </c>
      <c r="J22" s="9">
        <f>$AH$25</f>
        <v>-1.983965828096433</v>
      </c>
      <c r="K22" s="9">
        <f>$AI$25</f>
        <v>-0.8659998252448543</v>
      </c>
      <c r="L22" s="9">
        <f>$AJ$25</f>
        <v>-0.57535625145443958</v>
      </c>
      <c r="M22" s="1"/>
      <c r="O22" s="27">
        <v>6</v>
      </c>
      <c r="P22" s="28" t="s">
        <v>43</v>
      </c>
      <c r="Q22" s="27">
        <v>2</v>
      </c>
      <c r="R22" s="27">
        <v>4</v>
      </c>
      <c r="S22" s="29">
        <v>2.9085564880930601E-2</v>
      </c>
      <c r="T22" s="29">
        <v>1.5550337274718511</v>
      </c>
      <c r="U22" s="29">
        <v>1.997151888020396</v>
      </c>
      <c r="V22" s="29">
        <v>-1.983965828096433</v>
      </c>
      <c r="W22" s="29">
        <v>-1.3366519041822751</v>
      </c>
      <c r="X22" s="29">
        <v>-0.57535625145443958</v>
      </c>
      <c r="Z22" s="27">
        <v>6</v>
      </c>
      <c r="AA22" s="27">
        <v>6</v>
      </c>
      <c r="AB22" s="28" t="str">
        <f>$P$22</f>
        <v>S006</v>
      </c>
      <c r="AC22" s="27">
        <f>$Q$22</f>
        <v>2</v>
      </c>
      <c r="AD22" s="27">
        <f>$R$22</f>
        <v>4</v>
      </c>
      <c r="AE22" s="29">
        <f>$S$22</f>
        <v>2.9085564880930601E-2</v>
      </c>
      <c r="AF22" s="29">
        <f>$T$22</f>
        <v>1.5550337274718511</v>
      </c>
      <c r="AG22" s="29">
        <f>$U$22</f>
        <v>1.997151888020396</v>
      </c>
      <c r="AH22" s="29">
        <f>$V$22</f>
        <v>-1.983965828096433</v>
      </c>
      <c r="AI22" s="29">
        <f>$W$22</f>
        <v>-1.3366519041822751</v>
      </c>
      <c r="AJ22" s="29">
        <f>$X$22</f>
        <v>-0.57535625145443958</v>
      </c>
      <c r="AK22" s="29">
        <f t="shared" si="0"/>
        <v>94.5</v>
      </c>
    </row>
    <row r="23" spans="1:37" ht="7.5" customHeight="1" x14ac:dyDescent="0.25">
      <c r="A23" s="1"/>
      <c r="B23" s="1"/>
      <c r="C23" s="7" t="str">
        <f>$AB$26</f>
        <v>S008</v>
      </c>
      <c r="D23" s="8">
        <f>$AC$26</f>
        <v>2</v>
      </c>
      <c r="E23" s="8">
        <f>$AD$26</f>
        <v>4</v>
      </c>
      <c r="F23" s="1"/>
      <c r="G23" s="9">
        <f>$AE$26</f>
        <v>2.9085564880930601E-2</v>
      </c>
      <c r="H23" s="9">
        <f>$AF$26</f>
        <v>1.5550337274718511</v>
      </c>
      <c r="I23" s="9">
        <f>$AG$26</f>
        <v>1.997151888020396</v>
      </c>
      <c r="J23" s="9">
        <f>$AH$26</f>
        <v>-1.983965828096433</v>
      </c>
      <c r="K23" s="9">
        <f>$AI$26</f>
        <v>-0.8659998252448543</v>
      </c>
      <c r="L23" s="9">
        <f>$AJ$26</f>
        <v>-0.57535625145443958</v>
      </c>
      <c r="M23" s="1"/>
      <c r="O23" s="27">
        <v>7</v>
      </c>
      <c r="P23" s="28" t="s">
        <v>44</v>
      </c>
      <c r="Q23" s="27">
        <v>2</v>
      </c>
      <c r="R23" s="27">
        <v>4</v>
      </c>
      <c r="S23" s="29">
        <v>2.9085564880930601E-2</v>
      </c>
      <c r="T23" s="29">
        <v>1.5550337274718511</v>
      </c>
      <c r="U23" s="29">
        <v>1.997151888020396</v>
      </c>
      <c r="V23" s="29">
        <v>-1.983965828096433</v>
      </c>
      <c r="W23" s="29">
        <v>-0.8659998252448543</v>
      </c>
      <c r="X23" s="29">
        <v>-0.57535625145443958</v>
      </c>
      <c r="Z23" s="27">
        <v>7</v>
      </c>
      <c r="AA23" s="27">
        <v>10</v>
      </c>
      <c r="AB23" s="28" t="str">
        <f>$P$26</f>
        <v>S010</v>
      </c>
      <c r="AC23" s="27">
        <f>$Q$26</f>
        <v>2</v>
      </c>
      <c r="AD23" s="27">
        <f>$R$26</f>
        <v>4</v>
      </c>
      <c r="AE23" s="29">
        <f>$S$26</f>
        <v>2.9085564880930601E-2</v>
      </c>
      <c r="AF23" s="29">
        <f>$T$26</f>
        <v>1.5550337274718511</v>
      </c>
      <c r="AG23" s="29">
        <f>$U$26</f>
        <v>1.997151888020396</v>
      </c>
      <c r="AH23" s="29">
        <f>$V$26</f>
        <v>-1.983965828096433</v>
      </c>
      <c r="AI23" s="29">
        <f>$W$26</f>
        <v>-0.8659998252448543</v>
      </c>
      <c r="AJ23" s="29">
        <f>$X$26</f>
        <v>-0.57535625145443958</v>
      </c>
      <c r="AK23" s="29">
        <f t="shared" si="0"/>
        <v>93.5</v>
      </c>
    </row>
    <row r="24" spans="1:37" ht="7.5" customHeight="1" x14ac:dyDescent="0.25">
      <c r="A24" s="1"/>
      <c r="B24" s="1"/>
      <c r="C24" s="7" t="str">
        <f>$AB$27</f>
        <v>S013</v>
      </c>
      <c r="D24" s="8">
        <f>$AC$27</f>
        <v>2</v>
      </c>
      <c r="E24" s="8">
        <f>$AD$27</f>
        <v>12</v>
      </c>
      <c r="F24" s="1"/>
      <c r="G24" s="9">
        <f>$AE$27</f>
        <v>0.52117130613388507</v>
      </c>
      <c r="H24" s="9">
        <f>$AF$27</f>
        <v>1.8111423179105091</v>
      </c>
      <c r="I24" s="9">
        <f>$AG$27</f>
        <v>1.5333780400542349</v>
      </c>
      <c r="J24" s="9">
        <f>$AH$27</f>
        <v>-1.4269411911253891</v>
      </c>
      <c r="K24" s="9">
        <f>$AI$27</f>
        <v>-0.8659998252448543</v>
      </c>
      <c r="L24" s="9">
        <f>$AJ$27</f>
        <v>-0.57535625145443958</v>
      </c>
      <c r="M24" s="1"/>
      <c r="O24" s="27">
        <v>8</v>
      </c>
      <c r="P24" s="28" t="s">
        <v>45</v>
      </c>
      <c r="Q24" s="27">
        <v>2</v>
      </c>
      <c r="R24" s="27">
        <v>4</v>
      </c>
      <c r="S24" s="29">
        <v>2.9085564880930601E-2</v>
      </c>
      <c r="T24" s="29">
        <v>1.5550337274718511</v>
      </c>
      <c r="U24" s="29">
        <v>1.997151888020396</v>
      </c>
      <c r="V24" s="29">
        <v>-1.983965828096433</v>
      </c>
      <c r="W24" s="29">
        <v>-0.8659998252448543</v>
      </c>
      <c r="X24" s="29">
        <v>-0.57535625145443958</v>
      </c>
      <c r="Z24" s="27">
        <v>8</v>
      </c>
      <c r="AA24" s="27">
        <v>9</v>
      </c>
      <c r="AB24" s="28" t="str">
        <f>$P$25</f>
        <v>S009</v>
      </c>
      <c r="AC24" s="27">
        <f>$Q$25</f>
        <v>2</v>
      </c>
      <c r="AD24" s="27">
        <f>$R$25</f>
        <v>4</v>
      </c>
      <c r="AE24" s="29">
        <f>$S$25</f>
        <v>2.9085564880930601E-2</v>
      </c>
      <c r="AF24" s="29">
        <f>$T$25</f>
        <v>1.5550337274718511</v>
      </c>
      <c r="AG24" s="29">
        <f>$U$25</f>
        <v>1.997151888020396</v>
      </c>
      <c r="AH24" s="29">
        <f>$V$25</f>
        <v>-1.983965828096433</v>
      </c>
      <c r="AI24" s="29">
        <f>$W$25</f>
        <v>-0.8659998252448543</v>
      </c>
      <c r="AJ24" s="29">
        <f>$X$25</f>
        <v>-0.57535625145443958</v>
      </c>
      <c r="AK24" s="29">
        <f t="shared" si="0"/>
        <v>92.5</v>
      </c>
    </row>
    <row r="25" spans="1:37" ht="7.5" customHeight="1" x14ac:dyDescent="0.25">
      <c r="A25" s="1"/>
      <c r="B25" s="1"/>
      <c r="C25" s="7" t="str">
        <f>$AB$28</f>
        <v>S011</v>
      </c>
      <c r="D25" s="8">
        <f>$AC$28</f>
        <v>2</v>
      </c>
      <c r="E25" s="8">
        <f>$AD$28</f>
        <v>12</v>
      </c>
      <c r="F25" s="1"/>
      <c r="G25" s="9">
        <f>$AE$28</f>
        <v>0.52117130613388507</v>
      </c>
      <c r="H25" s="9">
        <f>$AF$28</f>
        <v>1.8111423179105091</v>
      </c>
      <c r="I25" s="9">
        <f>$AG$28</f>
        <v>1.5333780400542349</v>
      </c>
      <c r="J25" s="9">
        <f>$AH$28</f>
        <v>-1.4269411911253891</v>
      </c>
      <c r="K25" s="9">
        <f>$AI$28</f>
        <v>-0.8659998252448543</v>
      </c>
      <c r="L25" s="9">
        <f>$AJ$28</f>
        <v>-0.57535625145443958</v>
      </c>
      <c r="M25" s="1"/>
      <c r="O25" s="27">
        <v>9</v>
      </c>
      <c r="P25" s="28" t="s">
        <v>46</v>
      </c>
      <c r="Q25" s="27">
        <v>2</v>
      </c>
      <c r="R25" s="27">
        <v>4</v>
      </c>
      <c r="S25" s="29">
        <v>2.9085564880930601E-2</v>
      </c>
      <c r="T25" s="29">
        <v>1.5550337274718511</v>
      </c>
      <c r="U25" s="29">
        <v>1.997151888020396</v>
      </c>
      <c r="V25" s="29">
        <v>-1.983965828096433</v>
      </c>
      <c r="W25" s="29">
        <v>-0.8659998252448543</v>
      </c>
      <c r="X25" s="29">
        <v>-0.57535625145443958</v>
      </c>
      <c r="Z25" s="27">
        <v>9</v>
      </c>
      <c r="AA25" s="27">
        <v>7</v>
      </c>
      <c r="AB25" s="28" t="str">
        <f>$P$23</f>
        <v>S007</v>
      </c>
      <c r="AC25" s="27">
        <f>$Q$23</f>
        <v>2</v>
      </c>
      <c r="AD25" s="27">
        <f>$R$23</f>
        <v>4</v>
      </c>
      <c r="AE25" s="29">
        <f>$S$23</f>
        <v>2.9085564880930601E-2</v>
      </c>
      <c r="AF25" s="29">
        <f>$T$23</f>
        <v>1.5550337274718511</v>
      </c>
      <c r="AG25" s="29">
        <f>$U$23</f>
        <v>1.997151888020396</v>
      </c>
      <c r="AH25" s="29">
        <f>$V$23</f>
        <v>-1.983965828096433</v>
      </c>
      <c r="AI25" s="29">
        <f>$W$23</f>
        <v>-0.8659998252448543</v>
      </c>
      <c r="AJ25" s="29">
        <f>$X$23</f>
        <v>-0.57535625145443958</v>
      </c>
      <c r="AK25" s="29">
        <f t="shared" si="0"/>
        <v>91.5</v>
      </c>
    </row>
    <row r="26" spans="1:37" ht="7.5" customHeight="1" x14ac:dyDescent="0.25">
      <c r="A26" s="1"/>
      <c r="B26" s="1"/>
      <c r="C26" s="7" t="str">
        <f>$AB$29</f>
        <v>S012</v>
      </c>
      <c r="D26" s="8">
        <f>$AC$29</f>
        <v>2</v>
      </c>
      <c r="E26" s="8">
        <f>$AD$29</f>
        <v>12</v>
      </c>
      <c r="F26" s="1"/>
      <c r="G26" s="9">
        <f>$AE$29</f>
        <v>0.52117130613388507</v>
      </c>
      <c r="H26" s="9">
        <f>$AF$29</f>
        <v>1.8111423179105091</v>
      </c>
      <c r="I26" s="9">
        <f>$AG$29</f>
        <v>1.5333780400542349</v>
      </c>
      <c r="J26" s="9">
        <f>$AH$29</f>
        <v>-1.4269411911253891</v>
      </c>
      <c r="K26" s="9">
        <f>$AI$29</f>
        <v>-0.8659998252448543</v>
      </c>
      <c r="L26" s="9">
        <f>$AJ$29</f>
        <v>-0.57535625145443958</v>
      </c>
      <c r="M26" s="1"/>
      <c r="O26" s="27">
        <v>10</v>
      </c>
      <c r="P26" s="28" t="s">
        <v>47</v>
      </c>
      <c r="Q26" s="27">
        <v>2</v>
      </c>
      <c r="R26" s="27">
        <v>4</v>
      </c>
      <c r="S26" s="29">
        <v>2.9085564880930601E-2</v>
      </c>
      <c r="T26" s="29">
        <v>1.5550337274718511</v>
      </c>
      <c r="U26" s="29">
        <v>1.997151888020396</v>
      </c>
      <c r="V26" s="29">
        <v>-1.983965828096433</v>
      </c>
      <c r="W26" s="29">
        <v>-0.8659998252448543</v>
      </c>
      <c r="X26" s="29">
        <v>-0.57535625145443958</v>
      </c>
      <c r="Z26" s="27">
        <v>10</v>
      </c>
      <c r="AA26" s="27">
        <v>8</v>
      </c>
      <c r="AB26" s="28" t="str">
        <f>$P$24</f>
        <v>S008</v>
      </c>
      <c r="AC26" s="27">
        <f>$Q$24</f>
        <v>2</v>
      </c>
      <c r="AD26" s="27">
        <f>$R$24</f>
        <v>4</v>
      </c>
      <c r="AE26" s="29">
        <f>$S$24</f>
        <v>2.9085564880930601E-2</v>
      </c>
      <c r="AF26" s="29">
        <f>$T$24</f>
        <v>1.5550337274718511</v>
      </c>
      <c r="AG26" s="29">
        <f>$U$24</f>
        <v>1.997151888020396</v>
      </c>
      <c r="AH26" s="29">
        <f>$V$24</f>
        <v>-1.983965828096433</v>
      </c>
      <c r="AI26" s="29">
        <f>$W$24</f>
        <v>-0.8659998252448543</v>
      </c>
      <c r="AJ26" s="29">
        <f>$X$24</f>
        <v>-0.57535625145443958</v>
      </c>
      <c r="AK26" s="29">
        <f t="shared" si="0"/>
        <v>90.5</v>
      </c>
    </row>
    <row r="27" spans="1:37" ht="7.5" customHeight="1" x14ac:dyDescent="0.25">
      <c r="A27" s="1"/>
      <c r="B27" s="1"/>
      <c r="C27" s="7" t="str">
        <f>$AB$30</f>
        <v>S014</v>
      </c>
      <c r="D27" s="8">
        <f>$AC$30</f>
        <v>2</v>
      </c>
      <c r="E27" s="8">
        <f>$AD$30</f>
        <v>12</v>
      </c>
      <c r="F27" s="1"/>
      <c r="G27" s="9">
        <f>$AE$30</f>
        <v>0.52117130613388507</v>
      </c>
      <c r="H27" s="9">
        <f>$AF$30</f>
        <v>1.8111423179105091</v>
      </c>
      <c r="I27" s="9">
        <f>$AG$30</f>
        <v>1.5333780400542349</v>
      </c>
      <c r="J27" s="9">
        <f>$AH$30</f>
        <v>-1.4269411911253891</v>
      </c>
      <c r="K27" s="9">
        <f>$AI$30</f>
        <v>-1.3366519041822751</v>
      </c>
      <c r="L27" s="9">
        <f>$AJ$30</f>
        <v>-0.57535625145443958</v>
      </c>
      <c r="M27" s="1"/>
      <c r="O27" s="27">
        <v>11</v>
      </c>
      <c r="P27" s="28" t="s">
        <v>48</v>
      </c>
      <c r="Q27" s="27">
        <v>2</v>
      </c>
      <c r="R27" s="27">
        <v>12</v>
      </c>
      <c r="S27" s="29">
        <v>0.52117130613388507</v>
      </c>
      <c r="T27" s="29">
        <v>1.8111423179105091</v>
      </c>
      <c r="U27" s="29">
        <v>1.5333780400542349</v>
      </c>
      <c r="V27" s="29">
        <v>-1.4269411911253891</v>
      </c>
      <c r="W27" s="29">
        <v>-0.8659998252448543</v>
      </c>
      <c r="X27" s="29">
        <v>-0.57535625145443958</v>
      </c>
      <c r="Z27" s="27">
        <v>11</v>
      </c>
      <c r="AA27" s="27">
        <v>13</v>
      </c>
      <c r="AB27" s="28" t="str">
        <f>$P$29</f>
        <v>S013</v>
      </c>
      <c r="AC27" s="27">
        <f>$Q$29</f>
        <v>2</v>
      </c>
      <c r="AD27" s="27">
        <f>$R$29</f>
        <v>12</v>
      </c>
      <c r="AE27" s="29">
        <f>$S$29</f>
        <v>0.52117130613388507</v>
      </c>
      <c r="AF27" s="29">
        <f>$T$29</f>
        <v>1.8111423179105091</v>
      </c>
      <c r="AG27" s="29">
        <f>$U$29</f>
        <v>1.5333780400542349</v>
      </c>
      <c r="AH27" s="29">
        <f>$V$29</f>
        <v>-1.4269411911253891</v>
      </c>
      <c r="AI27" s="29">
        <f>$W$29</f>
        <v>-0.8659998252448543</v>
      </c>
      <c r="AJ27" s="29">
        <f>$X$29</f>
        <v>-0.57535625145443958</v>
      </c>
      <c r="AK27" s="29">
        <f t="shared" si="0"/>
        <v>89.5</v>
      </c>
    </row>
    <row r="28" spans="1:37" ht="7.5" customHeight="1" x14ac:dyDescent="0.25">
      <c r="A28" s="1"/>
      <c r="B28" s="1"/>
      <c r="C28" s="7" t="str">
        <f>$AB$31</f>
        <v>S015</v>
      </c>
      <c r="D28" s="8">
        <f>$AC$31</f>
        <v>2</v>
      </c>
      <c r="E28" s="8">
        <f>$AD$31</f>
        <v>12</v>
      </c>
      <c r="F28" s="1"/>
      <c r="G28" s="9">
        <f>$AE$31</f>
        <v>0.52117130613388507</v>
      </c>
      <c r="H28" s="9">
        <f>$AF$31</f>
        <v>1.8111423179105091</v>
      </c>
      <c r="I28" s="9">
        <f>$AG$31</f>
        <v>1.5333780400542349</v>
      </c>
      <c r="J28" s="9">
        <f>$AH$31</f>
        <v>-1.4269411911253891</v>
      </c>
      <c r="K28" s="9">
        <f>$AI$31</f>
        <v>-1.3366519041822751</v>
      </c>
      <c r="L28" s="9">
        <f>$AJ$31</f>
        <v>-0.57535625145443958</v>
      </c>
      <c r="M28" s="1"/>
      <c r="O28" s="27">
        <v>12</v>
      </c>
      <c r="P28" s="28" t="s">
        <v>49</v>
      </c>
      <c r="Q28" s="27">
        <v>2</v>
      </c>
      <c r="R28" s="27">
        <v>12</v>
      </c>
      <c r="S28" s="29">
        <v>0.52117130613388507</v>
      </c>
      <c r="T28" s="29">
        <v>1.8111423179105091</v>
      </c>
      <c r="U28" s="29">
        <v>1.5333780400542349</v>
      </c>
      <c r="V28" s="29">
        <v>-1.4269411911253891</v>
      </c>
      <c r="W28" s="29">
        <v>-0.8659998252448543</v>
      </c>
      <c r="X28" s="29">
        <v>-0.57535625145443958</v>
      </c>
      <c r="Z28" s="27">
        <v>12</v>
      </c>
      <c r="AA28" s="27">
        <v>11</v>
      </c>
      <c r="AB28" s="28" t="str">
        <f>$P$27</f>
        <v>S011</v>
      </c>
      <c r="AC28" s="27">
        <f>$Q$27</f>
        <v>2</v>
      </c>
      <c r="AD28" s="27">
        <f>$R$27</f>
        <v>12</v>
      </c>
      <c r="AE28" s="29">
        <f>$S$27</f>
        <v>0.52117130613388507</v>
      </c>
      <c r="AF28" s="29">
        <f>$T$27</f>
        <v>1.8111423179105091</v>
      </c>
      <c r="AG28" s="29">
        <f>$U$27</f>
        <v>1.5333780400542349</v>
      </c>
      <c r="AH28" s="29">
        <f>$V$27</f>
        <v>-1.4269411911253891</v>
      </c>
      <c r="AI28" s="29">
        <f>$W$27</f>
        <v>-0.8659998252448543</v>
      </c>
      <c r="AJ28" s="29">
        <f>$X$27</f>
        <v>-0.57535625145443958</v>
      </c>
      <c r="AK28" s="29">
        <f t="shared" si="0"/>
        <v>88.5</v>
      </c>
    </row>
    <row r="29" spans="1:37" ht="7.5" customHeight="1" x14ac:dyDescent="0.25">
      <c r="A29" s="1"/>
      <c r="B29" s="1"/>
      <c r="C29" s="7" t="str">
        <f>$AB$32</f>
        <v>S016</v>
      </c>
      <c r="D29" s="8">
        <f>$AC$32</f>
        <v>9</v>
      </c>
      <c r="E29" s="8">
        <f>$AD$32</f>
        <v>4</v>
      </c>
      <c r="F29" s="1"/>
      <c r="G29" s="9">
        <f>$AE$32</f>
        <v>1.2648256361824199</v>
      </c>
      <c r="H29" s="9">
        <f>$AF$32</f>
        <v>0.82364821154069623</v>
      </c>
      <c r="I29" s="9">
        <f>$AG$32</f>
        <v>0.71822893893173956</v>
      </c>
      <c r="J29" s="9">
        <f>$AH$32</f>
        <v>-0.16400380186790819</v>
      </c>
      <c r="K29" s="9">
        <f>$AI$32</f>
        <v>0.54595641156740826</v>
      </c>
      <c r="L29" s="9">
        <f>$AJ$32</f>
        <v>-0.24050611238594569</v>
      </c>
      <c r="M29" s="1"/>
      <c r="O29" s="27">
        <v>13</v>
      </c>
      <c r="P29" s="28" t="s">
        <v>50</v>
      </c>
      <c r="Q29" s="27">
        <v>2</v>
      </c>
      <c r="R29" s="27">
        <v>12</v>
      </c>
      <c r="S29" s="29">
        <v>0.52117130613388507</v>
      </c>
      <c r="T29" s="29">
        <v>1.8111423179105091</v>
      </c>
      <c r="U29" s="29">
        <v>1.5333780400542349</v>
      </c>
      <c r="V29" s="29">
        <v>-1.4269411911253891</v>
      </c>
      <c r="W29" s="29">
        <v>-0.8659998252448543</v>
      </c>
      <c r="X29" s="29">
        <v>-0.57535625145443958</v>
      </c>
      <c r="Z29" s="27">
        <v>13</v>
      </c>
      <c r="AA29" s="27">
        <v>12</v>
      </c>
      <c r="AB29" s="28" t="str">
        <f>$P$28</f>
        <v>S012</v>
      </c>
      <c r="AC29" s="27">
        <f>$Q$28</f>
        <v>2</v>
      </c>
      <c r="AD29" s="27">
        <f>$R$28</f>
        <v>12</v>
      </c>
      <c r="AE29" s="29">
        <f>$S$28</f>
        <v>0.52117130613388507</v>
      </c>
      <c r="AF29" s="29">
        <f>$T$28</f>
        <v>1.8111423179105091</v>
      </c>
      <c r="AG29" s="29">
        <f>$U$28</f>
        <v>1.5333780400542349</v>
      </c>
      <c r="AH29" s="29">
        <f>$V$28</f>
        <v>-1.4269411911253891</v>
      </c>
      <c r="AI29" s="29">
        <f>$W$28</f>
        <v>-0.8659998252448543</v>
      </c>
      <c r="AJ29" s="29">
        <f>$X$28</f>
        <v>-0.57535625145443958</v>
      </c>
      <c r="AK29" s="29">
        <f t="shared" si="0"/>
        <v>87.5</v>
      </c>
    </row>
    <row r="30" spans="1:37" ht="7.5" customHeight="1" x14ac:dyDescent="0.25">
      <c r="A30" s="1"/>
      <c r="B30" s="1"/>
      <c r="C30" s="7" t="str">
        <f>$AB$33</f>
        <v>S017</v>
      </c>
      <c r="D30" s="8">
        <f>$AC$33</f>
        <v>9</v>
      </c>
      <c r="E30" s="8">
        <f>$AD$33</f>
        <v>12</v>
      </c>
      <c r="F30" s="1"/>
      <c r="G30" s="9">
        <f>$AE$33</f>
        <v>0.80455993564816541</v>
      </c>
      <c r="H30" s="9">
        <f>$AF$33</f>
        <v>0.52860725089243688</v>
      </c>
      <c r="I30" s="9">
        <f>$AG$33</f>
        <v>0.2274256344796855</v>
      </c>
      <c r="J30" s="9">
        <f>$AH$33</f>
        <v>0.29993782905051758</v>
      </c>
      <c r="K30" s="9">
        <f>$AI$33</f>
        <v>0.54595641156740826</v>
      </c>
      <c r="L30" s="9">
        <f>$AJ$33</f>
        <v>-0.57535625145443958</v>
      </c>
      <c r="M30" s="1"/>
      <c r="O30" s="27">
        <v>14</v>
      </c>
      <c r="P30" s="28" t="s">
        <v>51</v>
      </c>
      <c r="Q30" s="27">
        <v>2</v>
      </c>
      <c r="R30" s="27">
        <v>12</v>
      </c>
      <c r="S30" s="29">
        <v>0.52117130613388507</v>
      </c>
      <c r="T30" s="29">
        <v>1.8111423179105091</v>
      </c>
      <c r="U30" s="29">
        <v>1.5333780400542349</v>
      </c>
      <c r="V30" s="29">
        <v>-1.4269411911253891</v>
      </c>
      <c r="W30" s="29">
        <v>-1.3366519041822751</v>
      </c>
      <c r="X30" s="29">
        <v>-0.57535625145443958</v>
      </c>
      <c r="Z30" s="27">
        <v>14</v>
      </c>
      <c r="AA30" s="27">
        <v>14</v>
      </c>
      <c r="AB30" s="28" t="str">
        <f>$P$30</f>
        <v>S014</v>
      </c>
      <c r="AC30" s="27">
        <f>$Q$30</f>
        <v>2</v>
      </c>
      <c r="AD30" s="27">
        <f>$R$30</f>
        <v>12</v>
      </c>
      <c r="AE30" s="29">
        <f>$S$30</f>
        <v>0.52117130613388507</v>
      </c>
      <c r="AF30" s="29">
        <f>$T$30</f>
        <v>1.8111423179105091</v>
      </c>
      <c r="AG30" s="29">
        <f>$U$30</f>
        <v>1.5333780400542349</v>
      </c>
      <c r="AH30" s="29">
        <f>$V$30</f>
        <v>-1.4269411911253891</v>
      </c>
      <c r="AI30" s="29">
        <f>$W$30</f>
        <v>-1.3366519041822751</v>
      </c>
      <c r="AJ30" s="29">
        <f>$X$30</f>
        <v>-0.57535625145443958</v>
      </c>
      <c r="AK30" s="29">
        <f t="shared" si="0"/>
        <v>86.5</v>
      </c>
    </row>
    <row r="31" spans="1:37" ht="7.5" customHeight="1" x14ac:dyDescent="0.25">
      <c r="A31" s="1"/>
      <c r="B31" s="1"/>
      <c r="C31" s="7" t="str">
        <f>$AB$34</f>
        <v>S018</v>
      </c>
      <c r="D31" s="8">
        <f>$AC$34</f>
        <v>9</v>
      </c>
      <c r="E31" s="8">
        <f>$AD$34</f>
        <v>12</v>
      </c>
      <c r="F31" s="1"/>
      <c r="G31" s="9">
        <f>$AE$34</f>
        <v>0.80455993564816541</v>
      </c>
      <c r="H31" s="9">
        <f>$AF$34</f>
        <v>0.52860725089243688</v>
      </c>
      <c r="I31" s="9">
        <f>$AG$34</f>
        <v>0.2274256344796855</v>
      </c>
      <c r="J31" s="9">
        <f>$AH$34</f>
        <v>0.29993782905051758</v>
      </c>
      <c r="K31" s="9">
        <f>$AI$34</f>
        <v>1.9579126483796709</v>
      </c>
      <c r="L31" s="9">
        <f>$AJ$34</f>
        <v>-0.2739911262927951</v>
      </c>
      <c r="M31" s="1"/>
      <c r="O31" s="27">
        <v>15</v>
      </c>
      <c r="P31" s="28" t="s">
        <v>52</v>
      </c>
      <c r="Q31" s="27">
        <v>2</v>
      </c>
      <c r="R31" s="27">
        <v>12</v>
      </c>
      <c r="S31" s="29">
        <v>0.52117130613388507</v>
      </c>
      <c r="T31" s="29">
        <v>1.8111423179105091</v>
      </c>
      <c r="U31" s="29">
        <v>1.5333780400542349</v>
      </c>
      <c r="V31" s="29">
        <v>-1.4269411911253891</v>
      </c>
      <c r="W31" s="29">
        <v>-1.3366519041822751</v>
      </c>
      <c r="X31" s="29">
        <v>-0.57535625145443958</v>
      </c>
      <c r="Z31" s="27">
        <v>15</v>
      </c>
      <c r="AA31" s="27">
        <v>15</v>
      </c>
      <c r="AB31" s="28" t="str">
        <f>$P$31</f>
        <v>S015</v>
      </c>
      <c r="AC31" s="27">
        <f>$Q$31</f>
        <v>2</v>
      </c>
      <c r="AD31" s="27">
        <f>$R$31</f>
        <v>12</v>
      </c>
      <c r="AE31" s="29">
        <f>$S$31</f>
        <v>0.52117130613388507</v>
      </c>
      <c r="AF31" s="29">
        <f>$T$31</f>
        <v>1.8111423179105091</v>
      </c>
      <c r="AG31" s="29">
        <f>$U$31</f>
        <v>1.5333780400542349</v>
      </c>
      <c r="AH31" s="29">
        <f>$V$31</f>
        <v>-1.4269411911253891</v>
      </c>
      <c r="AI31" s="29">
        <f>$W$31</f>
        <v>-1.3366519041822751</v>
      </c>
      <c r="AJ31" s="29">
        <f>$X$31</f>
        <v>-0.57535625145443958</v>
      </c>
      <c r="AK31" s="29">
        <f t="shared" si="0"/>
        <v>85.5</v>
      </c>
    </row>
    <row r="32" spans="1:37" ht="7.5" customHeight="1" x14ac:dyDescent="0.25">
      <c r="A32" s="1"/>
      <c r="B32" s="1"/>
      <c r="C32" s="7" t="str">
        <f>$AB$35</f>
        <v>S019</v>
      </c>
      <c r="D32" s="8">
        <f>$AC$35</f>
        <v>9</v>
      </c>
      <c r="E32" s="8">
        <f>$AD$35</f>
        <v>12</v>
      </c>
      <c r="F32" s="1"/>
      <c r="G32" s="9">
        <f>$AE$35</f>
        <v>0.80455993564816541</v>
      </c>
      <c r="H32" s="9">
        <f>$AF$35</f>
        <v>0.52860725089243688</v>
      </c>
      <c r="I32" s="9">
        <f>$AG$35</f>
        <v>0.2274256344796855</v>
      </c>
      <c r="J32" s="9">
        <f>$AH$35</f>
        <v>0.29993782905051758</v>
      </c>
      <c r="K32" s="9">
        <f>$AI$35</f>
        <v>1.0166084905048289</v>
      </c>
      <c r="L32" s="9">
        <f>$AJ$35</f>
        <v>0.42919416575104208</v>
      </c>
      <c r="M32" s="1"/>
      <c r="O32" s="27">
        <v>16</v>
      </c>
      <c r="P32" s="28" t="s">
        <v>53</v>
      </c>
      <c r="Q32" s="27">
        <v>9</v>
      </c>
      <c r="R32" s="27">
        <v>4</v>
      </c>
      <c r="S32" s="29">
        <v>1.2648256361824199</v>
      </c>
      <c r="T32" s="29">
        <v>0.82364821154069623</v>
      </c>
      <c r="U32" s="29">
        <v>0.71822893893173956</v>
      </c>
      <c r="V32" s="29">
        <v>-0.16400380186790819</v>
      </c>
      <c r="W32" s="29">
        <v>0.54595641156740826</v>
      </c>
      <c r="X32" s="29">
        <v>-0.24050611238594569</v>
      </c>
      <c r="Z32" s="27">
        <v>16</v>
      </c>
      <c r="AA32" s="27">
        <v>16</v>
      </c>
      <c r="AB32" s="28" t="str">
        <f>$P$32</f>
        <v>S016</v>
      </c>
      <c r="AC32" s="27">
        <f>$Q$32</f>
        <v>9</v>
      </c>
      <c r="AD32" s="27">
        <f>$R$32</f>
        <v>4</v>
      </c>
      <c r="AE32" s="29">
        <f>$S$32</f>
        <v>1.2648256361824199</v>
      </c>
      <c r="AF32" s="29">
        <f>$T$32</f>
        <v>0.82364821154069623</v>
      </c>
      <c r="AG32" s="29">
        <f>$U$32</f>
        <v>0.71822893893173956</v>
      </c>
      <c r="AH32" s="29">
        <f>$V$32</f>
        <v>-0.16400380186790819</v>
      </c>
      <c r="AI32" s="29">
        <f>$W$32</f>
        <v>0.54595641156740826</v>
      </c>
      <c r="AJ32" s="29">
        <f>$X$32</f>
        <v>-0.24050611238594569</v>
      </c>
      <c r="AK32" s="29">
        <f t="shared" si="0"/>
        <v>84.5</v>
      </c>
    </row>
    <row r="33" spans="1:37" ht="7.5" customHeight="1" x14ac:dyDescent="0.25">
      <c r="A33" s="1"/>
      <c r="B33" s="1"/>
      <c r="C33" s="7" t="str">
        <f>$AB$36</f>
        <v>S020</v>
      </c>
      <c r="D33" s="8">
        <f>$AC$36</f>
        <v>9</v>
      </c>
      <c r="E33" s="8">
        <f>$AD$36</f>
        <v>4</v>
      </c>
      <c r="F33" s="1"/>
      <c r="G33" s="9">
        <f>$AE$36</f>
        <v>1.2648256361824199</v>
      </c>
      <c r="H33" s="9">
        <f>$AF$36</f>
        <v>0.82364821154069623</v>
      </c>
      <c r="I33" s="9">
        <f>$AG$36</f>
        <v>0.71822893893173956</v>
      </c>
      <c r="J33" s="9">
        <f>$AH$36</f>
        <v>-0.16400380186790819</v>
      </c>
      <c r="K33" s="9">
        <f>$AI$36</f>
        <v>1.48726056944225</v>
      </c>
      <c r="L33" s="9">
        <f>$AJ$36</f>
        <v>2.4382950001620052</v>
      </c>
      <c r="M33" s="1"/>
      <c r="O33" s="27">
        <v>17</v>
      </c>
      <c r="P33" s="28" t="s">
        <v>54</v>
      </c>
      <c r="Q33" s="27">
        <v>9</v>
      </c>
      <c r="R33" s="27">
        <v>12</v>
      </c>
      <c r="S33" s="29">
        <v>0.80455993564816541</v>
      </c>
      <c r="T33" s="29">
        <v>0.52860725089243688</v>
      </c>
      <c r="U33" s="29">
        <v>0.2274256344796855</v>
      </c>
      <c r="V33" s="29">
        <v>0.29993782905051758</v>
      </c>
      <c r="W33" s="29">
        <v>0.54595641156740826</v>
      </c>
      <c r="X33" s="29">
        <v>-0.57535625145443958</v>
      </c>
      <c r="Z33" s="27">
        <v>17</v>
      </c>
      <c r="AA33" s="27">
        <v>17</v>
      </c>
      <c r="AB33" s="28" t="str">
        <f>$P$33</f>
        <v>S017</v>
      </c>
      <c r="AC33" s="27">
        <f>$Q$33</f>
        <v>9</v>
      </c>
      <c r="AD33" s="27">
        <f>$R$33</f>
        <v>12</v>
      </c>
      <c r="AE33" s="29">
        <f>$S$33</f>
        <v>0.80455993564816541</v>
      </c>
      <c r="AF33" s="29">
        <f>$T$33</f>
        <v>0.52860725089243688</v>
      </c>
      <c r="AG33" s="29">
        <f>$U$33</f>
        <v>0.2274256344796855</v>
      </c>
      <c r="AH33" s="29">
        <f>$V$33</f>
        <v>0.29993782905051758</v>
      </c>
      <c r="AI33" s="29">
        <f>$W$33</f>
        <v>0.54595641156740826</v>
      </c>
      <c r="AJ33" s="29">
        <f>$X$33</f>
        <v>-0.57535625145443958</v>
      </c>
      <c r="AK33" s="29">
        <f t="shared" si="0"/>
        <v>83.5</v>
      </c>
    </row>
    <row r="34" spans="1:37" ht="7.5" customHeight="1" x14ac:dyDescent="0.25">
      <c r="A34" s="1"/>
      <c r="B34" s="1"/>
      <c r="C34" s="7" t="str">
        <f>$AB$37</f>
        <v>S021</v>
      </c>
      <c r="D34" s="8">
        <f>$AC$37</f>
        <v>9</v>
      </c>
      <c r="E34" s="8">
        <f>$AD$37</f>
        <v>4</v>
      </c>
      <c r="F34" s="1"/>
      <c r="G34" s="9">
        <f>$AE$37</f>
        <v>1.2648256361824199</v>
      </c>
      <c r="H34" s="9">
        <f>$AF$37</f>
        <v>0.82364821154069623</v>
      </c>
      <c r="I34" s="9">
        <f>$AG$37</f>
        <v>0.71822893893173956</v>
      </c>
      <c r="J34" s="9">
        <f>$AH$37</f>
        <v>-0.16400380186790819</v>
      </c>
      <c r="K34" s="9">
        <f>$AI$37</f>
        <v>7.5304332629987397E-2</v>
      </c>
      <c r="L34" s="9">
        <f>$AJ$37</f>
        <v>0.93146937435378296</v>
      </c>
      <c r="M34" s="1"/>
      <c r="O34" s="27">
        <v>18</v>
      </c>
      <c r="P34" s="28" t="s">
        <v>55</v>
      </c>
      <c r="Q34" s="27">
        <v>9</v>
      </c>
      <c r="R34" s="27">
        <v>12</v>
      </c>
      <c r="S34" s="29">
        <v>0.80455993564816541</v>
      </c>
      <c r="T34" s="29">
        <v>0.52860725089243688</v>
      </c>
      <c r="U34" s="29">
        <v>0.2274256344796855</v>
      </c>
      <c r="V34" s="29">
        <v>0.29993782905051758</v>
      </c>
      <c r="W34" s="29">
        <v>1.9579126483796709</v>
      </c>
      <c r="X34" s="29">
        <v>-0.2739911262927951</v>
      </c>
      <c r="Z34" s="27">
        <v>18</v>
      </c>
      <c r="AA34" s="27">
        <v>18</v>
      </c>
      <c r="AB34" s="28" t="str">
        <f>$P$34</f>
        <v>S018</v>
      </c>
      <c r="AC34" s="27">
        <f>$Q$34</f>
        <v>9</v>
      </c>
      <c r="AD34" s="27">
        <f>$R$34</f>
        <v>12</v>
      </c>
      <c r="AE34" s="29">
        <f>$S$34</f>
        <v>0.80455993564816541</v>
      </c>
      <c r="AF34" s="29">
        <f>$T$34</f>
        <v>0.52860725089243688</v>
      </c>
      <c r="AG34" s="29">
        <f>$U$34</f>
        <v>0.2274256344796855</v>
      </c>
      <c r="AH34" s="29">
        <f>$V$34</f>
        <v>0.29993782905051758</v>
      </c>
      <c r="AI34" s="29">
        <f>$W$34</f>
        <v>1.9579126483796709</v>
      </c>
      <c r="AJ34" s="29">
        <f>$X$34</f>
        <v>-0.2739911262927951</v>
      </c>
      <c r="AK34" s="29">
        <f t="shared" si="0"/>
        <v>82.5</v>
      </c>
    </row>
    <row r="35" spans="1:37" ht="7.5" customHeight="1" x14ac:dyDescent="0.25">
      <c r="A35" s="1"/>
      <c r="B35" s="1"/>
      <c r="C35" s="7" t="str">
        <f>$AB$38</f>
        <v>S022</v>
      </c>
      <c r="D35" s="8">
        <f>$AC$38</f>
        <v>9</v>
      </c>
      <c r="E35" s="8">
        <f>$AD$38</f>
        <v>12</v>
      </c>
      <c r="F35" s="1"/>
      <c r="G35" s="9">
        <f>$AE$38</f>
        <v>0.80455993564816541</v>
      </c>
      <c r="H35" s="9">
        <f>$AF$38</f>
        <v>0.52860725089243688</v>
      </c>
      <c r="I35" s="9">
        <f>$AG$38</f>
        <v>0.2274256344796855</v>
      </c>
      <c r="J35" s="9">
        <f>$AH$38</f>
        <v>0.29993782905051758</v>
      </c>
      <c r="K35" s="9">
        <f>$AI$38</f>
        <v>0.54595641156740826</v>
      </c>
      <c r="L35" s="9">
        <f>$AJ$38</f>
        <v>1.4337445829565241</v>
      </c>
      <c r="M35" s="1"/>
      <c r="O35" s="27">
        <v>19</v>
      </c>
      <c r="P35" s="28" t="s">
        <v>56</v>
      </c>
      <c r="Q35" s="27">
        <v>9</v>
      </c>
      <c r="R35" s="27">
        <v>12</v>
      </c>
      <c r="S35" s="29">
        <v>0.80455993564816541</v>
      </c>
      <c r="T35" s="29">
        <v>0.52860725089243688</v>
      </c>
      <c r="U35" s="29">
        <v>0.2274256344796855</v>
      </c>
      <c r="V35" s="29">
        <v>0.29993782905051758</v>
      </c>
      <c r="W35" s="29">
        <v>1.0166084905048289</v>
      </c>
      <c r="X35" s="29">
        <v>0.42919416575104208</v>
      </c>
      <c r="Z35" s="27">
        <v>19</v>
      </c>
      <c r="AA35" s="27">
        <v>19</v>
      </c>
      <c r="AB35" s="28" t="str">
        <f>$P$35</f>
        <v>S019</v>
      </c>
      <c r="AC35" s="27">
        <f>$Q$35</f>
        <v>9</v>
      </c>
      <c r="AD35" s="27">
        <f>$R$35</f>
        <v>12</v>
      </c>
      <c r="AE35" s="29">
        <f>$S$35</f>
        <v>0.80455993564816541</v>
      </c>
      <c r="AF35" s="29">
        <f>$T$35</f>
        <v>0.52860725089243688</v>
      </c>
      <c r="AG35" s="29">
        <f>$U$35</f>
        <v>0.2274256344796855</v>
      </c>
      <c r="AH35" s="29">
        <f>$V$35</f>
        <v>0.29993782905051758</v>
      </c>
      <c r="AI35" s="29">
        <f>$W$35</f>
        <v>1.0166084905048289</v>
      </c>
      <c r="AJ35" s="29">
        <f>$X$35</f>
        <v>0.42919416575104208</v>
      </c>
      <c r="AK35" s="29">
        <f t="shared" si="0"/>
        <v>81.5</v>
      </c>
    </row>
    <row r="36" spans="1:37" ht="7.5" customHeight="1" x14ac:dyDescent="0.25">
      <c r="A36" s="1"/>
      <c r="B36" s="1"/>
      <c r="C36" s="7" t="str">
        <f>$AB$39</f>
        <v>S023</v>
      </c>
      <c r="D36" s="8">
        <f>$AC$39</f>
        <v>3</v>
      </c>
      <c r="E36" s="8">
        <f>$AD$39</f>
        <v>4</v>
      </c>
      <c r="F36" s="1"/>
      <c r="G36" s="9">
        <f>$AE$39</f>
        <v>-0.38449153210995118</v>
      </c>
      <c r="H36" s="9">
        <f>$AF$39</f>
        <v>2.7167237171123602E-2</v>
      </c>
      <c r="I36" s="9">
        <f>$AG$39</f>
        <v>8.6720979823163499E-2</v>
      </c>
      <c r="J36" s="9">
        <f>$AH$39</f>
        <v>-0.51841384896111198</v>
      </c>
      <c r="K36" s="9">
        <f>$AI$39</f>
        <v>-0.39534774630743341</v>
      </c>
      <c r="L36" s="9">
        <f>$AJ$39</f>
        <v>-0.57535625145443958</v>
      </c>
      <c r="M36" s="1"/>
      <c r="O36" s="27">
        <v>20</v>
      </c>
      <c r="P36" s="28" t="s">
        <v>57</v>
      </c>
      <c r="Q36" s="27">
        <v>9</v>
      </c>
      <c r="R36" s="27">
        <v>4</v>
      </c>
      <c r="S36" s="29">
        <v>1.2648256361824199</v>
      </c>
      <c r="T36" s="29">
        <v>0.82364821154069623</v>
      </c>
      <c r="U36" s="29">
        <v>0.71822893893173956</v>
      </c>
      <c r="V36" s="29">
        <v>-0.16400380186790819</v>
      </c>
      <c r="W36" s="29">
        <v>1.48726056944225</v>
      </c>
      <c r="X36" s="29">
        <v>2.4382950001620052</v>
      </c>
      <c r="Z36" s="27">
        <v>20</v>
      </c>
      <c r="AA36" s="27">
        <v>20</v>
      </c>
      <c r="AB36" s="28" t="str">
        <f>$P$36</f>
        <v>S020</v>
      </c>
      <c r="AC36" s="27">
        <f>$Q$36</f>
        <v>9</v>
      </c>
      <c r="AD36" s="27">
        <f>$R$36</f>
        <v>4</v>
      </c>
      <c r="AE36" s="29">
        <f>$S$36</f>
        <v>1.2648256361824199</v>
      </c>
      <c r="AF36" s="29">
        <f>$T$36</f>
        <v>0.82364821154069623</v>
      </c>
      <c r="AG36" s="29">
        <f>$U$36</f>
        <v>0.71822893893173956</v>
      </c>
      <c r="AH36" s="29">
        <f>$V$36</f>
        <v>-0.16400380186790819</v>
      </c>
      <c r="AI36" s="29">
        <f>$W$36</f>
        <v>1.48726056944225</v>
      </c>
      <c r="AJ36" s="29">
        <f>$X$36</f>
        <v>2.4382950001620052</v>
      </c>
      <c r="AK36" s="29">
        <f t="shared" si="0"/>
        <v>80.5</v>
      </c>
    </row>
    <row r="37" spans="1:37" ht="7.5" customHeight="1" x14ac:dyDescent="0.25">
      <c r="A37" s="1"/>
      <c r="B37" s="1"/>
      <c r="C37" s="7" t="str">
        <f>$AB$40</f>
        <v>S024</v>
      </c>
      <c r="D37" s="8">
        <f>$AC$40</f>
        <v>3</v>
      </c>
      <c r="E37" s="8">
        <f>$AD$40</f>
        <v>4</v>
      </c>
      <c r="F37" s="1"/>
      <c r="G37" s="9">
        <f>$AE$40</f>
        <v>-0.38449153210995118</v>
      </c>
      <c r="H37" s="9">
        <f>$AF$40</f>
        <v>2.7167237171123602E-2</v>
      </c>
      <c r="I37" s="9">
        <f>$AG$40</f>
        <v>8.6720979823163499E-2</v>
      </c>
      <c r="J37" s="9">
        <f>$AH$40</f>
        <v>-0.51841384896111198</v>
      </c>
      <c r="K37" s="9">
        <f>$AI$40</f>
        <v>-0.8659998252448543</v>
      </c>
      <c r="L37" s="9">
        <f>$AJ$40</f>
        <v>-0.57535625145443958</v>
      </c>
      <c r="M37" s="1"/>
      <c r="O37" s="27">
        <v>21</v>
      </c>
      <c r="P37" s="28" t="s">
        <v>58</v>
      </c>
      <c r="Q37" s="27">
        <v>9</v>
      </c>
      <c r="R37" s="27">
        <v>4</v>
      </c>
      <c r="S37" s="29">
        <v>1.2648256361824199</v>
      </c>
      <c r="T37" s="29">
        <v>0.82364821154069623</v>
      </c>
      <c r="U37" s="29">
        <v>0.71822893893173956</v>
      </c>
      <c r="V37" s="29">
        <v>-0.16400380186790819</v>
      </c>
      <c r="W37" s="29">
        <v>7.5304332629987397E-2</v>
      </c>
      <c r="X37" s="29">
        <v>0.93146937435378296</v>
      </c>
      <c r="Z37" s="27">
        <v>21</v>
      </c>
      <c r="AA37" s="27">
        <v>21</v>
      </c>
      <c r="AB37" s="28" t="str">
        <f>$P$37</f>
        <v>S021</v>
      </c>
      <c r="AC37" s="27">
        <f>$Q$37</f>
        <v>9</v>
      </c>
      <c r="AD37" s="27">
        <f>$R$37</f>
        <v>4</v>
      </c>
      <c r="AE37" s="29">
        <f>$S$37</f>
        <v>1.2648256361824199</v>
      </c>
      <c r="AF37" s="29">
        <f>$T$37</f>
        <v>0.82364821154069623</v>
      </c>
      <c r="AG37" s="29">
        <f>$U$37</f>
        <v>0.71822893893173956</v>
      </c>
      <c r="AH37" s="29">
        <f>$V$37</f>
        <v>-0.16400380186790819</v>
      </c>
      <c r="AI37" s="29">
        <f>$W$37</f>
        <v>7.5304332629987397E-2</v>
      </c>
      <c r="AJ37" s="29">
        <f>$X$37</f>
        <v>0.93146937435378296</v>
      </c>
      <c r="AK37" s="29">
        <f t="shared" si="0"/>
        <v>79.5</v>
      </c>
    </row>
    <row r="38" spans="1:37" ht="7.5" customHeight="1" x14ac:dyDescent="0.25">
      <c r="A38" s="1"/>
      <c r="B38" s="1"/>
      <c r="C38" s="7" t="str">
        <f>$AB$41</f>
        <v>S025</v>
      </c>
      <c r="D38" s="8">
        <f>$AC$41</f>
        <v>3</v>
      </c>
      <c r="E38" s="8">
        <f>$AD$41</f>
        <v>4</v>
      </c>
      <c r="F38" s="1"/>
      <c r="G38" s="9">
        <f>$AE$41</f>
        <v>-0.38449153210995118</v>
      </c>
      <c r="H38" s="9">
        <f>$AF$41</f>
        <v>2.7167237171123602E-2</v>
      </c>
      <c r="I38" s="9">
        <f>$AG$41</f>
        <v>8.6720979823163499E-2</v>
      </c>
      <c r="J38" s="9">
        <f>$AH$41</f>
        <v>-0.51841384896111198</v>
      </c>
      <c r="K38" s="9">
        <f>$AI$41</f>
        <v>7.5304332629987397E-2</v>
      </c>
      <c r="L38" s="9">
        <f>$AJ$41</f>
        <v>-7.3081042851698697E-2</v>
      </c>
      <c r="M38" s="1"/>
      <c r="O38" s="27">
        <v>22</v>
      </c>
      <c r="P38" s="28" t="s">
        <v>59</v>
      </c>
      <c r="Q38" s="27">
        <v>9</v>
      </c>
      <c r="R38" s="27">
        <v>12</v>
      </c>
      <c r="S38" s="29">
        <v>0.80455993564816541</v>
      </c>
      <c r="T38" s="29">
        <v>0.52860725089243688</v>
      </c>
      <c r="U38" s="29">
        <v>0.2274256344796855</v>
      </c>
      <c r="V38" s="29">
        <v>0.29993782905051758</v>
      </c>
      <c r="W38" s="29">
        <v>0.54595641156740826</v>
      </c>
      <c r="X38" s="29">
        <v>1.4337445829565241</v>
      </c>
      <c r="Z38" s="27">
        <v>22</v>
      </c>
      <c r="AA38" s="27">
        <v>22</v>
      </c>
      <c r="AB38" s="28" t="str">
        <f>$P$38</f>
        <v>S022</v>
      </c>
      <c r="AC38" s="27">
        <f>$Q$38</f>
        <v>9</v>
      </c>
      <c r="AD38" s="27">
        <f>$R$38</f>
        <v>12</v>
      </c>
      <c r="AE38" s="29">
        <f>$S$38</f>
        <v>0.80455993564816541</v>
      </c>
      <c r="AF38" s="29">
        <f>$T$38</f>
        <v>0.52860725089243688</v>
      </c>
      <c r="AG38" s="29">
        <f>$U$38</f>
        <v>0.2274256344796855</v>
      </c>
      <c r="AH38" s="29">
        <f>$V$38</f>
        <v>0.29993782905051758</v>
      </c>
      <c r="AI38" s="29">
        <f>$W$38</f>
        <v>0.54595641156740826</v>
      </c>
      <c r="AJ38" s="29">
        <f>$X$38</f>
        <v>1.4337445829565241</v>
      </c>
      <c r="AK38" s="29">
        <f t="shared" si="0"/>
        <v>78.5</v>
      </c>
    </row>
    <row r="39" spans="1:37" ht="7.5" customHeight="1" x14ac:dyDescent="0.25">
      <c r="A39" s="1"/>
      <c r="B39" s="1"/>
      <c r="C39" s="7" t="str">
        <f>$AB$42</f>
        <v>S026</v>
      </c>
      <c r="D39" s="8">
        <f>$AC$42</f>
        <v>3</v>
      </c>
      <c r="E39" s="8">
        <f>$AD$42</f>
        <v>12</v>
      </c>
      <c r="F39" s="1"/>
      <c r="G39" s="9">
        <f>$AE$42</f>
        <v>-0.35741359231778891</v>
      </c>
      <c r="H39" s="9">
        <f>$AF$42</f>
        <v>0.19921753020329769</v>
      </c>
      <c r="I39" s="9">
        <f>$AG$42</f>
        <v>-0.13742978920424609</v>
      </c>
      <c r="J39" s="9">
        <f>$AH$42</f>
        <v>-0.41264155992579821</v>
      </c>
      <c r="K39" s="9">
        <f>$AI$42</f>
        <v>0.54595641156740826</v>
      </c>
      <c r="L39" s="9">
        <f>$AJ$42</f>
        <v>-0.44978744930375442</v>
      </c>
      <c r="M39" s="1"/>
      <c r="O39" s="27">
        <v>23</v>
      </c>
      <c r="P39" s="28" t="s">
        <v>60</v>
      </c>
      <c r="Q39" s="27">
        <v>3</v>
      </c>
      <c r="R39" s="27">
        <v>4</v>
      </c>
      <c r="S39" s="29">
        <v>-0.38449153210995118</v>
      </c>
      <c r="T39" s="29">
        <v>2.7167237171123602E-2</v>
      </c>
      <c r="U39" s="29">
        <v>8.6720979823163499E-2</v>
      </c>
      <c r="V39" s="29">
        <v>-0.51841384896111198</v>
      </c>
      <c r="W39" s="29">
        <v>-0.39534774630743341</v>
      </c>
      <c r="X39" s="29">
        <v>-0.57535625145443958</v>
      </c>
      <c r="Z39" s="27">
        <v>23</v>
      </c>
      <c r="AA39" s="27">
        <v>23</v>
      </c>
      <c r="AB39" s="28" t="str">
        <f>$P$39</f>
        <v>S023</v>
      </c>
      <c r="AC39" s="27">
        <f>$Q$39</f>
        <v>3</v>
      </c>
      <c r="AD39" s="27">
        <f>$R$39</f>
        <v>4</v>
      </c>
      <c r="AE39" s="29">
        <f>$S$39</f>
        <v>-0.38449153210995118</v>
      </c>
      <c r="AF39" s="29">
        <f>$T$39</f>
        <v>2.7167237171123602E-2</v>
      </c>
      <c r="AG39" s="29">
        <f>$U$39</f>
        <v>8.6720979823163499E-2</v>
      </c>
      <c r="AH39" s="29">
        <f>$V$39</f>
        <v>-0.51841384896111198</v>
      </c>
      <c r="AI39" s="29">
        <f>$W$39</f>
        <v>-0.39534774630743341</v>
      </c>
      <c r="AJ39" s="29">
        <f>$X$39</f>
        <v>-0.57535625145443958</v>
      </c>
      <c r="AK39" s="29">
        <f t="shared" si="0"/>
        <v>77.5</v>
      </c>
    </row>
    <row r="40" spans="1:37" ht="7.5" customHeight="1" x14ac:dyDescent="0.25">
      <c r="A40" s="1"/>
      <c r="B40" s="1"/>
      <c r="C40" s="7" t="str">
        <f>$AB$43</f>
        <v>S027</v>
      </c>
      <c r="D40" s="8">
        <f>$AC$43</f>
        <v>3</v>
      </c>
      <c r="E40" s="8">
        <f>$AD$43</f>
        <v>4</v>
      </c>
      <c r="F40" s="1"/>
      <c r="G40" s="9">
        <f>$AE$43</f>
        <v>-0.38449153210995118</v>
      </c>
      <c r="H40" s="9">
        <f>$AF$43</f>
        <v>2.7167237171123602E-2</v>
      </c>
      <c r="I40" s="9">
        <f>$AG$43</f>
        <v>8.6720979823163499E-2</v>
      </c>
      <c r="J40" s="9">
        <f>$AH$43</f>
        <v>-0.51841384896111198</v>
      </c>
      <c r="K40" s="9">
        <f>$AI$43</f>
        <v>7.5304332629987397E-2</v>
      </c>
      <c r="L40" s="9">
        <f>$AJ$43</f>
        <v>-0.57535625145443958</v>
      </c>
      <c r="M40" s="1"/>
      <c r="O40" s="27">
        <v>24</v>
      </c>
      <c r="P40" s="28" t="s">
        <v>61</v>
      </c>
      <c r="Q40" s="27">
        <v>3</v>
      </c>
      <c r="R40" s="27">
        <v>4</v>
      </c>
      <c r="S40" s="29">
        <v>-0.38449153210995118</v>
      </c>
      <c r="T40" s="29">
        <v>2.7167237171123602E-2</v>
      </c>
      <c r="U40" s="29">
        <v>8.6720979823163499E-2</v>
      </c>
      <c r="V40" s="29">
        <v>-0.51841384896111198</v>
      </c>
      <c r="W40" s="29">
        <v>-0.8659998252448543</v>
      </c>
      <c r="X40" s="29">
        <v>-0.57535625145443958</v>
      </c>
      <c r="Z40" s="27">
        <v>24</v>
      </c>
      <c r="AA40" s="27">
        <v>24</v>
      </c>
      <c r="AB40" s="28" t="str">
        <f>$P$40</f>
        <v>S024</v>
      </c>
      <c r="AC40" s="27">
        <f>$Q$40</f>
        <v>3</v>
      </c>
      <c r="AD40" s="27">
        <f>$R$40</f>
        <v>4</v>
      </c>
      <c r="AE40" s="29">
        <f>$S$40</f>
        <v>-0.38449153210995118</v>
      </c>
      <c r="AF40" s="29">
        <f>$T$40</f>
        <v>2.7167237171123602E-2</v>
      </c>
      <c r="AG40" s="29">
        <f>$U$40</f>
        <v>8.6720979823163499E-2</v>
      </c>
      <c r="AH40" s="29">
        <f>$V$40</f>
        <v>-0.51841384896111198</v>
      </c>
      <c r="AI40" s="29">
        <f>$W$40</f>
        <v>-0.8659998252448543</v>
      </c>
      <c r="AJ40" s="29">
        <f>$X$40</f>
        <v>-0.57535625145443958</v>
      </c>
      <c r="AK40" s="29">
        <f t="shared" si="0"/>
        <v>76.5</v>
      </c>
    </row>
    <row r="41" spans="1:37" ht="7.5" customHeight="1" x14ac:dyDescent="0.25">
      <c r="A41" s="1"/>
      <c r="B41" s="1"/>
      <c r="C41" s="7" t="str">
        <f>$AB$44</f>
        <v>S028</v>
      </c>
      <c r="D41" s="8">
        <f>$AC$44</f>
        <v>3</v>
      </c>
      <c r="E41" s="8">
        <f>$AD$44</f>
        <v>12</v>
      </c>
      <c r="F41" s="1"/>
      <c r="G41" s="9">
        <f>$AE$44</f>
        <v>-0.35741359231778891</v>
      </c>
      <c r="H41" s="9">
        <f>$AF$44</f>
        <v>0.19921753020329769</v>
      </c>
      <c r="I41" s="9">
        <f>$AG$44</f>
        <v>-0.13742978920424609</v>
      </c>
      <c r="J41" s="9">
        <f>$AH$44</f>
        <v>-0.41264155992579821</v>
      </c>
      <c r="K41" s="9">
        <f>$AI$44</f>
        <v>7.5304332629987397E-2</v>
      </c>
      <c r="L41" s="9">
        <f>$AJ$44</f>
        <v>-0.57535625145443958</v>
      </c>
      <c r="M41" s="1"/>
      <c r="O41" s="27">
        <v>25</v>
      </c>
      <c r="P41" s="28" t="s">
        <v>62</v>
      </c>
      <c r="Q41" s="27">
        <v>3</v>
      </c>
      <c r="R41" s="27">
        <v>4</v>
      </c>
      <c r="S41" s="29">
        <v>-0.38449153210995118</v>
      </c>
      <c r="T41" s="29">
        <v>2.7167237171123602E-2</v>
      </c>
      <c r="U41" s="29">
        <v>8.6720979823163499E-2</v>
      </c>
      <c r="V41" s="29">
        <v>-0.51841384896111198</v>
      </c>
      <c r="W41" s="29">
        <v>7.5304332629987397E-2</v>
      </c>
      <c r="X41" s="29">
        <v>-7.3081042851698697E-2</v>
      </c>
      <c r="Z41" s="27">
        <v>25</v>
      </c>
      <c r="AA41" s="27">
        <v>25</v>
      </c>
      <c r="AB41" s="28" t="str">
        <f>$P$41</f>
        <v>S025</v>
      </c>
      <c r="AC41" s="27">
        <f>$Q$41</f>
        <v>3</v>
      </c>
      <c r="AD41" s="27">
        <f>$R$41</f>
        <v>4</v>
      </c>
      <c r="AE41" s="29">
        <f>$S$41</f>
        <v>-0.38449153210995118</v>
      </c>
      <c r="AF41" s="29">
        <f>$T$41</f>
        <v>2.7167237171123602E-2</v>
      </c>
      <c r="AG41" s="29">
        <f>$U$41</f>
        <v>8.6720979823163499E-2</v>
      </c>
      <c r="AH41" s="29">
        <f>$V$41</f>
        <v>-0.51841384896111198</v>
      </c>
      <c r="AI41" s="29">
        <f>$W$41</f>
        <v>7.5304332629987397E-2</v>
      </c>
      <c r="AJ41" s="29">
        <f>$X$41</f>
        <v>-7.3081042851698697E-2</v>
      </c>
      <c r="AK41" s="29">
        <f t="shared" si="0"/>
        <v>75.5</v>
      </c>
    </row>
    <row r="42" spans="1:37" ht="7.5" customHeight="1" x14ac:dyDescent="0.25">
      <c r="A42" s="1"/>
      <c r="B42" s="1"/>
      <c r="C42" s="7" t="str">
        <f>$AB$45</f>
        <v>S029</v>
      </c>
      <c r="D42" s="8">
        <f>$AC$45</f>
        <v>5</v>
      </c>
      <c r="E42" s="8">
        <f>$AD$45</f>
        <v>4</v>
      </c>
      <c r="F42" s="1"/>
      <c r="G42" s="9">
        <f>$AE$45</f>
        <v>0.62110026645707839</v>
      </c>
      <c r="H42" s="9">
        <f>$AF$45</f>
        <v>0.4204862201643958</v>
      </c>
      <c r="I42" s="9">
        <f>$AG$45</f>
        <v>1.063745241275992</v>
      </c>
      <c r="J42" s="9">
        <f>$AH$45</f>
        <v>-0.83522742935462524</v>
      </c>
      <c r="K42" s="9">
        <f>$AI$45</f>
        <v>-1.3366519041822751</v>
      </c>
      <c r="L42" s="9">
        <f>$AJ$45</f>
        <v>-0.57535625145443958</v>
      </c>
      <c r="M42" s="1"/>
      <c r="O42" s="27">
        <v>26</v>
      </c>
      <c r="P42" s="28" t="s">
        <v>63</v>
      </c>
      <c r="Q42" s="27">
        <v>3</v>
      </c>
      <c r="R42" s="27">
        <v>12</v>
      </c>
      <c r="S42" s="29">
        <v>-0.35741359231778891</v>
      </c>
      <c r="T42" s="29">
        <v>0.19921753020329769</v>
      </c>
      <c r="U42" s="29">
        <v>-0.13742978920424609</v>
      </c>
      <c r="V42" s="29">
        <v>-0.41264155992579821</v>
      </c>
      <c r="W42" s="29">
        <v>0.54595641156740826</v>
      </c>
      <c r="X42" s="29">
        <v>-0.44978744930375442</v>
      </c>
      <c r="Z42" s="27">
        <v>26</v>
      </c>
      <c r="AA42" s="27">
        <v>26</v>
      </c>
      <c r="AB42" s="28" t="str">
        <f>$P$42</f>
        <v>S026</v>
      </c>
      <c r="AC42" s="27">
        <f>$Q$42</f>
        <v>3</v>
      </c>
      <c r="AD42" s="27">
        <f>$R$42</f>
        <v>12</v>
      </c>
      <c r="AE42" s="29">
        <f>$S$42</f>
        <v>-0.35741359231778891</v>
      </c>
      <c r="AF42" s="29">
        <f>$T$42</f>
        <v>0.19921753020329769</v>
      </c>
      <c r="AG42" s="29">
        <f>$U$42</f>
        <v>-0.13742978920424609</v>
      </c>
      <c r="AH42" s="29">
        <f>$V$42</f>
        <v>-0.41264155992579821</v>
      </c>
      <c r="AI42" s="29">
        <f>$W$42</f>
        <v>0.54595641156740826</v>
      </c>
      <c r="AJ42" s="29">
        <f>$X$42</f>
        <v>-0.44978744930375442</v>
      </c>
      <c r="AK42" s="29">
        <f t="shared" si="0"/>
        <v>74.5</v>
      </c>
    </row>
    <row r="43" spans="1:37" ht="7.5" customHeight="1" x14ac:dyDescent="0.25">
      <c r="A43" s="1"/>
      <c r="B43" s="1"/>
      <c r="C43" s="7" t="str">
        <f>$AB$46</f>
        <v>S033</v>
      </c>
      <c r="D43" s="8">
        <f>$AC$46</f>
        <v>5</v>
      </c>
      <c r="E43" s="8">
        <f>$AD$46</f>
        <v>4</v>
      </c>
      <c r="F43" s="1"/>
      <c r="G43" s="9">
        <f>$AE$46</f>
        <v>0.62110026645707839</v>
      </c>
      <c r="H43" s="9">
        <f>$AF$46</f>
        <v>0.4204862201643958</v>
      </c>
      <c r="I43" s="9">
        <f>$AG$46</f>
        <v>1.063745241275992</v>
      </c>
      <c r="J43" s="9">
        <f>$AH$46</f>
        <v>-0.83522742935462524</v>
      </c>
      <c r="K43" s="9">
        <f>$AI$46</f>
        <v>-0.8659998252448543</v>
      </c>
      <c r="L43" s="9">
        <f>$AJ$46</f>
        <v>-0.57535625145443958</v>
      </c>
      <c r="M43" s="1"/>
      <c r="O43" s="27">
        <v>27</v>
      </c>
      <c r="P43" s="28" t="s">
        <v>64</v>
      </c>
      <c r="Q43" s="27">
        <v>3</v>
      </c>
      <c r="R43" s="27">
        <v>4</v>
      </c>
      <c r="S43" s="29">
        <v>-0.38449153210995118</v>
      </c>
      <c r="T43" s="29">
        <v>2.7167237171123602E-2</v>
      </c>
      <c r="U43" s="29">
        <v>8.6720979823163499E-2</v>
      </c>
      <c r="V43" s="29">
        <v>-0.51841384896111198</v>
      </c>
      <c r="W43" s="29">
        <v>7.5304332629987397E-2</v>
      </c>
      <c r="X43" s="29">
        <v>-0.57535625145443958</v>
      </c>
      <c r="Z43" s="27">
        <v>27</v>
      </c>
      <c r="AA43" s="27">
        <v>27</v>
      </c>
      <c r="AB43" s="28" t="str">
        <f>$P$43</f>
        <v>S027</v>
      </c>
      <c r="AC43" s="27">
        <f>$Q$43</f>
        <v>3</v>
      </c>
      <c r="AD43" s="27">
        <f>$R$43</f>
        <v>4</v>
      </c>
      <c r="AE43" s="29">
        <f>$S$43</f>
        <v>-0.38449153210995118</v>
      </c>
      <c r="AF43" s="29">
        <f>$T$43</f>
        <v>2.7167237171123602E-2</v>
      </c>
      <c r="AG43" s="29">
        <f>$U$43</f>
        <v>8.6720979823163499E-2</v>
      </c>
      <c r="AH43" s="29">
        <f>$V$43</f>
        <v>-0.51841384896111198</v>
      </c>
      <c r="AI43" s="29">
        <f>$W$43</f>
        <v>7.5304332629987397E-2</v>
      </c>
      <c r="AJ43" s="29">
        <f>$X$43</f>
        <v>-0.57535625145443958</v>
      </c>
      <c r="AK43" s="29">
        <f t="shared" si="0"/>
        <v>73.5</v>
      </c>
    </row>
    <row r="44" spans="1:37" ht="7.5" customHeight="1" x14ac:dyDescent="0.25">
      <c r="A44" s="1"/>
      <c r="B44" s="1"/>
      <c r="C44" s="7" t="str">
        <f>$AB$47</f>
        <v>S032</v>
      </c>
      <c r="D44" s="8">
        <f>$AC$47</f>
        <v>5</v>
      </c>
      <c r="E44" s="8">
        <f>$AD$47</f>
        <v>4</v>
      </c>
      <c r="F44" s="1"/>
      <c r="G44" s="9">
        <f>$AE$47</f>
        <v>0.62110026645707839</v>
      </c>
      <c r="H44" s="9">
        <f>$AF$47</f>
        <v>0.4204862201643958</v>
      </c>
      <c r="I44" s="9">
        <f>$AG$47</f>
        <v>1.063745241275992</v>
      </c>
      <c r="J44" s="9">
        <f>$AH$47</f>
        <v>-0.83522742935462524</v>
      </c>
      <c r="K44" s="9">
        <f>$AI$47</f>
        <v>-0.8659998252448543</v>
      </c>
      <c r="L44" s="9">
        <f>$AJ$47</f>
        <v>-0.57535625145443958</v>
      </c>
      <c r="M44" s="1"/>
      <c r="O44" s="27">
        <v>28</v>
      </c>
      <c r="P44" s="28" t="s">
        <v>65</v>
      </c>
      <c r="Q44" s="27">
        <v>3</v>
      </c>
      <c r="R44" s="27">
        <v>12</v>
      </c>
      <c r="S44" s="29">
        <v>-0.35741359231778891</v>
      </c>
      <c r="T44" s="29">
        <v>0.19921753020329769</v>
      </c>
      <c r="U44" s="29">
        <v>-0.13742978920424609</v>
      </c>
      <c r="V44" s="29">
        <v>-0.41264155992579821</v>
      </c>
      <c r="W44" s="29">
        <v>7.5304332629987397E-2</v>
      </c>
      <c r="X44" s="29">
        <v>-0.57535625145443958</v>
      </c>
      <c r="Z44" s="27">
        <v>28</v>
      </c>
      <c r="AA44" s="27">
        <v>28</v>
      </c>
      <c r="AB44" s="28" t="str">
        <f>$P$44</f>
        <v>S028</v>
      </c>
      <c r="AC44" s="27">
        <f>$Q$44</f>
        <v>3</v>
      </c>
      <c r="AD44" s="27">
        <f>$R$44</f>
        <v>12</v>
      </c>
      <c r="AE44" s="29">
        <f>$S$44</f>
        <v>-0.35741359231778891</v>
      </c>
      <c r="AF44" s="29">
        <f>$T$44</f>
        <v>0.19921753020329769</v>
      </c>
      <c r="AG44" s="29">
        <f>$U$44</f>
        <v>-0.13742978920424609</v>
      </c>
      <c r="AH44" s="29">
        <f>$V$44</f>
        <v>-0.41264155992579821</v>
      </c>
      <c r="AI44" s="29">
        <f>$W$44</f>
        <v>7.5304332629987397E-2</v>
      </c>
      <c r="AJ44" s="29">
        <f>$X$44</f>
        <v>-0.57535625145443958</v>
      </c>
      <c r="AK44" s="29">
        <f t="shared" si="0"/>
        <v>72.5</v>
      </c>
    </row>
    <row r="45" spans="1:37" ht="7.5" customHeight="1" x14ac:dyDescent="0.25">
      <c r="A45" s="1"/>
      <c r="B45" s="1"/>
      <c r="C45" s="7" t="str">
        <f>$AB$48</f>
        <v>S030</v>
      </c>
      <c r="D45" s="8">
        <f>$AC$48</f>
        <v>5</v>
      </c>
      <c r="E45" s="8">
        <f>$AD$48</f>
        <v>4</v>
      </c>
      <c r="F45" s="1"/>
      <c r="G45" s="9">
        <f>$AE$48</f>
        <v>0.62110026645707839</v>
      </c>
      <c r="H45" s="9">
        <f>$AF$48</f>
        <v>0.4204862201643958</v>
      </c>
      <c r="I45" s="9">
        <f>$AG$48</f>
        <v>1.063745241275992</v>
      </c>
      <c r="J45" s="9">
        <f>$AH$48</f>
        <v>-0.83522742935462524</v>
      </c>
      <c r="K45" s="9">
        <f>$AI$48</f>
        <v>-0.8659998252448543</v>
      </c>
      <c r="L45" s="9">
        <f>$AJ$48</f>
        <v>-0.57535625145443958</v>
      </c>
      <c r="M45" s="1"/>
      <c r="O45" s="27">
        <v>29</v>
      </c>
      <c r="P45" s="28" t="s">
        <v>66</v>
      </c>
      <c r="Q45" s="27">
        <v>5</v>
      </c>
      <c r="R45" s="27">
        <v>4</v>
      </c>
      <c r="S45" s="29">
        <v>0.62110026645707839</v>
      </c>
      <c r="T45" s="29">
        <v>0.4204862201643958</v>
      </c>
      <c r="U45" s="29">
        <v>1.063745241275992</v>
      </c>
      <c r="V45" s="29">
        <v>-0.83522742935462524</v>
      </c>
      <c r="W45" s="29">
        <v>-1.3366519041822751</v>
      </c>
      <c r="X45" s="29">
        <v>-0.57535625145443958</v>
      </c>
      <c r="Z45" s="27">
        <v>29</v>
      </c>
      <c r="AA45" s="27">
        <v>29</v>
      </c>
      <c r="AB45" s="28" t="str">
        <f>$P$45</f>
        <v>S029</v>
      </c>
      <c r="AC45" s="27">
        <f>$Q$45</f>
        <v>5</v>
      </c>
      <c r="AD45" s="27">
        <f>$R$45</f>
        <v>4</v>
      </c>
      <c r="AE45" s="29">
        <f>$S$45</f>
        <v>0.62110026645707839</v>
      </c>
      <c r="AF45" s="29">
        <f>$T$45</f>
        <v>0.4204862201643958</v>
      </c>
      <c r="AG45" s="29">
        <f>$U$45</f>
        <v>1.063745241275992</v>
      </c>
      <c r="AH45" s="29">
        <f>$V$45</f>
        <v>-0.83522742935462524</v>
      </c>
      <c r="AI45" s="29">
        <f>$W$45</f>
        <v>-1.3366519041822751</v>
      </c>
      <c r="AJ45" s="29">
        <f>$X$45</f>
        <v>-0.57535625145443958</v>
      </c>
      <c r="AK45" s="29">
        <f t="shared" si="0"/>
        <v>71.5</v>
      </c>
    </row>
    <row r="46" spans="1:37" ht="7.5" customHeight="1" x14ac:dyDescent="0.25">
      <c r="A46" s="1"/>
      <c r="B46" s="1"/>
      <c r="C46" s="7" t="str">
        <f>$AB$49</f>
        <v>S031</v>
      </c>
      <c r="D46" s="8">
        <f>$AC$49</f>
        <v>5</v>
      </c>
      <c r="E46" s="8">
        <f>$AD$49</f>
        <v>4</v>
      </c>
      <c r="F46" s="1"/>
      <c r="G46" s="9">
        <f>$AE$49</f>
        <v>0.62110026645707839</v>
      </c>
      <c r="H46" s="9">
        <f>$AF$49</f>
        <v>0.4204862201643958</v>
      </c>
      <c r="I46" s="9">
        <f>$AG$49</f>
        <v>1.063745241275992</v>
      </c>
      <c r="J46" s="9">
        <f>$AH$49</f>
        <v>-0.83522742935462524</v>
      </c>
      <c r="K46" s="9">
        <f>$AI$49</f>
        <v>-0.8659998252448543</v>
      </c>
      <c r="L46" s="9">
        <f>$AJ$49</f>
        <v>-0.57535625145443958</v>
      </c>
      <c r="M46" s="1"/>
      <c r="O46" s="27">
        <v>30</v>
      </c>
      <c r="P46" s="28" t="s">
        <v>67</v>
      </c>
      <c r="Q46" s="27">
        <v>5</v>
      </c>
      <c r="R46" s="27">
        <v>4</v>
      </c>
      <c r="S46" s="29">
        <v>0.62110026645707839</v>
      </c>
      <c r="T46" s="29">
        <v>0.4204862201643958</v>
      </c>
      <c r="U46" s="29">
        <v>1.063745241275992</v>
      </c>
      <c r="V46" s="29">
        <v>-0.83522742935462524</v>
      </c>
      <c r="W46" s="29">
        <v>-0.8659998252448543</v>
      </c>
      <c r="X46" s="29">
        <v>-0.57535625145443958</v>
      </c>
      <c r="Z46" s="27">
        <v>30</v>
      </c>
      <c r="AA46" s="27">
        <v>33</v>
      </c>
      <c r="AB46" s="28" t="str">
        <f>$P$49</f>
        <v>S033</v>
      </c>
      <c r="AC46" s="27">
        <f>$Q$49</f>
        <v>5</v>
      </c>
      <c r="AD46" s="27">
        <f>$R$49</f>
        <v>4</v>
      </c>
      <c r="AE46" s="29">
        <f>$S$49</f>
        <v>0.62110026645707839</v>
      </c>
      <c r="AF46" s="29">
        <f>$T$49</f>
        <v>0.4204862201643958</v>
      </c>
      <c r="AG46" s="29">
        <f>$U$49</f>
        <v>1.063745241275992</v>
      </c>
      <c r="AH46" s="29">
        <f>$V$49</f>
        <v>-0.83522742935462524</v>
      </c>
      <c r="AI46" s="29">
        <f>$W$49</f>
        <v>-0.8659998252448543</v>
      </c>
      <c r="AJ46" s="29">
        <f>$X$49</f>
        <v>-0.57535625145443958</v>
      </c>
      <c r="AK46" s="29">
        <f t="shared" si="0"/>
        <v>70.5</v>
      </c>
    </row>
    <row r="47" spans="1:37" ht="7.5" customHeight="1" x14ac:dyDescent="0.25">
      <c r="A47" s="1"/>
      <c r="B47" s="1"/>
      <c r="C47" s="7" t="str">
        <f>$AB$50</f>
        <v>S036</v>
      </c>
      <c r="D47" s="8">
        <f>$AC$50</f>
        <v>5</v>
      </c>
      <c r="E47" s="8">
        <f>$AD$50</f>
        <v>12</v>
      </c>
      <c r="F47" s="1"/>
      <c r="G47" s="9">
        <f>$AE$50</f>
        <v>0.49452304835636962</v>
      </c>
      <c r="H47" s="9">
        <f>$AF$50</f>
        <v>0.42614988347096511</v>
      </c>
      <c r="I47" s="9">
        <f>$AG$50</f>
        <v>0.24739701304208819</v>
      </c>
      <c r="J47" s="9">
        <f>$AH$50</f>
        <v>-0.63965391608149802</v>
      </c>
      <c r="K47" s="9">
        <f>$AI$50</f>
        <v>-0.8659998252448543</v>
      </c>
      <c r="L47" s="9">
        <f>$AJ$50</f>
        <v>-0.57535625145443958</v>
      </c>
      <c r="M47" s="1"/>
      <c r="O47" s="27">
        <v>31</v>
      </c>
      <c r="P47" s="28" t="s">
        <v>68</v>
      </c>
      <c r="Q47" s="27">
        <v>5</v>
      </c>
      <c r="R47" s="27">
        <v>4</v>
      </c>
      <c r="S47" s="29">
        <v>0.62110026645707839</v>
      </c>
      <c r="T47" s="29">
        <v>0.4204862201643958</v>
      </c>
      <c r="U47" s="29">
        <v>1.063745241275992</v>
      </c>
      <c r="V47" s="29">
        <v>-0.83522742935462524</v>
      </c>
      <c r="W47" s="29">
        <v>-0.8659998252448543</v>
      </c>
      <c r="X47" s="29">
        <v>-0.57535625145443958</v>
      </c>
      <c r="Z47" s="27">
        <v>31</v>
      </c>
      <c r="AA47" s="27">
        <v>32</v>
      </c>
      <c r="AB47" s="28" t="str">
        <f>$P$48</f>
        <v>S032</v>
      </c>
      <c r="AC47" s="27">
        <f>$Q$48</f>
        <v>5</v>
      </c>
      <c r="AD47" s="27">
        <f>$R$48</f>
        <v>4</v>
      </c>
      <c r="AE47" s="29">
        <f>$S$48</f>
        <v>0.62110026645707839</v>
      </c>
      <c r="AF47" s="29">
        <f>$T$48</f>
        <v>0.4204862201643958</v>
      </c>
      <c r="AG47" s="29">
        <f>$U$48</f>
        <v>1.063745241275992</v>
      </c>
      <c r="AH47" s="29">
        <f>$V$48</f>
        <v>-0.83522742935462524</v>
      </c>
      <c r="AI47" s="29">
        <f>$W$48</f>
        <v>-0.8659998252448543</v>
      </c>
      <c r="AJ47" s="29">
        <f>$X$48</f>
        <v>-0.57535625145443958</v>
      </c>
      <c r="AK47" s="29">
        <f t="shared" si="0"/>
        <v>69.5</v>
      </c>
    </row>
    <row r="48" spans="1:37" ht="7.5" customHeight="1" x14ac:dyDescent="0.25">
      <c r="A48" s="1"/>
      <c r="B48" s="1"/>
      <c r="C48" s="7" t="str">
        <f>$AB$51</f>
        <v>S034</v>
      </c>
      <c r="D48" s="8">
        <f>$AC$51</f>
        <v>5</v>
      </c>
      <c r="E48" s="8">
        <f>$AD$51</f>
        <v>12</v>
      </c>
      <c r="F48" s="1"/>
      <c r="G48" s="9">
        <f>$AE$51</f>
        <v>0.49452304835636962</v>
      </c>
      <c r="H48" s="9">
        <f>$AF$51</f>
        <v>0.42614988347096511</v>
      </c>
      <c r="I48" s="9">
        <f>$AG$51</f>
        <v>0.24739701304208819</v>
      </c>
      <c r="J48" s="9">
        <f>$AH$51</f>
        <v>-0.63965391608149802</v>
      </c>
      <c r="K48" s="9">
        <f>$AI$51</f>
        <v>-0.8659998252448543</v>
      </c>
      <c r="L48" s="9">
        <f>$AJ$51</f>
        <v>-0.57535625145443958</v>
      </c>
      <c r="M48" s="1"/>
      <c r="O48" s="27">
        <v>32</v>
      </c>
      <c r="P48" s="28" t="s">
        <v>69</v>
      </c>
      <c r="Q48" s="27">
        <v>5</v>
      </c>
      <c r="R48" s="27">
        <v>4</v>
      </c>
      <c r="S48" s="29">
        <v>0.62110026645707839</v>
      </c>
      <c r="T48" s="29">
        <v>0.4204862201643958</v>
      </c>
      <c r="U48" s="29">
        <v>1.063745241275992</v>
      </c>
      <c r="V48" s="29">
        <v>-0.83522742935462524</v>
      </c>
      <c r="W48" s="29">
        <v>-0.8659998252448543</v>
      </c>
      <c r="X48" s="29">
        <v>-0.57535625145443958</v>
      </c>
      <c r="Z48" s="27">
        <v>32</v>
      </c>
      <c r="AA48" s="27">
        <v>30</v>
      </c>
      <c r="AB48" s="28" t="str">
        <f>$P$46</f>
        <v>S030</v>
      </c>
      <c r="AC48" s="27">
        <f>$Q$46</f>
        <v>5</v>
      </c>
      <c r="AD48" s="27">
        <f>$R$46</f>
        <v>4</v>
      </c>
      <c r="AE48" s="29">
        <f>$S$46</f>
        <v>0.62110026645707839</v>
      </c>
      <c r="AF48" s="29">
        <f>$T$46</f>
        <v>0.4204862201643958</v>
      </c>
      <c r="AG48" s="29">
        <f>$U$46</f>
        <v>1.063745241275992</v>
      </c>
      <c r="AH48" s="29">
        <f>$V$46</f>
        <v>-0.83522742935462524</v>
      </c>
      <c r="AI48" s="29">
        <f>$W$46</f>
        <v>-0.8659998252448543</v>
      </c>
      <c r="AJ48" s="29">
        <f>$X$46</f>
        <v>-0.57535625145443958</v>
      </c>
      <c r="AK48" s="29">
        <f t="shared" si="0"/>
        <v>68.5</v>
      </c>
    </row>
    <row r="49" spans="1:37" ht="7.5" customHeight="1" x14ac:dyDescent="0.25">
      <c r="A49" s="1"/>
      <c r="B49" s="1"/>
      <c r="C49" s="7" t="str">
        <f>$AB$52</f>
        <v>S035</v>
      </c>
      <c r="D49" s="8">
        <f>$AC$52</f>
        <v>5</v>
      </c>
      <c r="E49" s="8">
        <f>$AD$52</f>
        <v>12</v>
      </c>
      <c r="F49" s="1"/>
      <c r="G49" s="9">
        <f>$AE$52</f>
        <v>0.49452304835636962</v>
      </c>
      <c r="H49" s="9">
        <f>$AF$52</f>
        <v>0.42614988347096511</v>
      </c>
      <c r="I49" s="9">
        <f>$AG$52</f>
        <v>0.24739701304208819</v>
      </c>
      <c r="J49" s="9">
        <f>$AH$52</f>
        <v>-0.63965391608149802</v>
      </c>
      <c r="K49" s="9">
        <f>$AI$52</f>
        <v>-0.8659998252448543</v>
      </c>
      <c r="L49" s="9">
        <f>$AJ$52</f>
        <v>-0.57535625145443958</v>
      </c>
      <c r="M49" s="1"/>
      <c r="O49" s="27">
        <v>33</v>
      </c>
      <c r="P49" s="28" t="s">
        <v>70</v>
      </c>
      <c r="Q49" s="27">
        <v>5</v>
      </c>
      <c r="R49" s="27">
        <v>4</v>
      </c>
      <c r="S49" s="29">
        <v>0.62110026645707839</v>
      </c>
      <c r="T49" s="29">
        <v>0.4204862201643958</v>
      </c>
      <c r="U49" s="29">
        <v>1.063745241275992</v>
      </c>
      <c r="V49" s="29">
        <v>-0.83522742935462524</v>
      </c>
      <c r="W49" s="29">
        <v>-0.8659998252448543</v>
      </c>
      <c r="X49" s="29">
        <v>-0.57535625145443958</v>
      </c>
      <c r="Z49" s="27">
        <v>33</v>
      </c>
      <c r="AA49" s="27">
        <v>31</v>
      </c>
      <c r="AB49" s="28" t="str">
        <f>$P$47</f>
        <v>S031</v>
      </c>
      <c r="AC49" s="27">
        <f>$Q$47</f>
        <v>5</v>
      </c>
      <c r="AD49" s="27">
        <f>$R$47</f>
        <v>4</v>
      </c>
      <c r="AE49" s="29">
        <f>$S$47</f>
        <v>0.62110026645707839</v>
      </c>
      <c r="AF49" s="29">
        <f>$T$47</f>
        <v>0.4204862201643958</v>
      </c>
      <c r="AG49" s="29">
        <f>$U$47</f>
        <v>1.063745241275992</v>
      </c>
      <c r="AH49" s="29">
        <f>$V$47</f>
        <v>-0.83522742935462524</v>
      </c>
      <c r="AI49" s="29">
        <f>$W$47</f>
        <v>-0.8659998252448543</v>
      </c>
      <c r="AJ49" s="29">
        <f>$X$47</f>
        <v>-0.57535625145443958</v>
      </c>
      <c r="AK49" s="29">
        <f t="shared" ref="AK49:AK80" si="1">100.5-Z49</f>
        <v>67.5</v>
      </c>
    </row>
    <row r="50" spans="1:37" ht="7.5" customHeight="1" x14ac:dyDescent="0.25">
      <c r="A50" s="1"/>
      <c r="B50" s="1"/>
      <c r="C50" s="7" t="str">
        <f>$AB$53</f>
        <v>S037</v>
      </c>
      <c r="D50" s="8">
        <f>$AC$53</f>
        <v>5</v>
      </c>
      <c r="E50" s="8">
        <f>$AD$53</f>
        <v>12</v>
      </c>
      <c r="F50" s="1"/>
      <c r="G50" s="9">
        <f>$AE$53</f>
        <v>0.49452304835636962</v>
      </c>
      <c r="H50" s="9">
        <f>$AF$53</f>
        <v>0.42614988347096511</v>
      </c>
      <c r="I50" s="9">
        <f>$AG$53</f>
        <v>0.24739701304208819</v>
      </c>
      <c r="J50" s="9">
        <f>$AH$53</f>
        <v>-0.63965391608149802</v>
      </c>
      <c r="K50" s="9">
        <f>$AI$53</f>
        <v>-1.3366519041822751</v>
      </c>
      <c r="L50" s="9">
        <f>$AJ$53</f>
        <v>-0.57535625145443958</v>
      </c>
      <c r="M50" s="1"/>
      <c r="O50" s="27">
        <v>34</v>
      </c>
      <c r="P50" s="28" t="s">
        <v>71</v>
      </c>
      <c r="Q50" s="27">
        <v>5</v>
      </c>
      <c r="R50" s="27">
        <v>12</v>
      </c>
      <c r="S50" s="29">
        <v>0.49452304835636962</v>
      </c>
      <c r="T50" s="29">
        <v>0.42614988347096511</v>
      </c>
      <c r="U50" s="29">
        <v>0.24739701304208819</v>
      </c>
      <c r="V50" s="29">
        <v>-0.63965391608149802</v>
      </c>
      <c r="W50" s="29">
        <v>-0.8659998252448543</v>
      </c>
      <c r="X50" s="29">
        <v>-0.57535625145443958</v>
      </c>
      <c r="Z50" s="27">
        <v>34</v>
      </c>
      <c r="AA50" s="27">
        <v>36</v>
      </c>
      <c r="AB50" s="28" t="str">
        <f>$P$52</f>
        <v>S036</v>
      </c>
      <c r="AC50" s="27">
        <f>$Q$52</f>
        <v>5</v>
      </c>
      <c r="AD50" s="27">
        <f>$R$52</f>
        <v>12</v>
      </c>
      <c r="AE50" s="29">
        <f>$S$52</f>
        <v>0.49452304835636962</v>
      </c>
      <c r="AF50" s="29">
        <f>$T$52</f>
        <v>0.42614988347096511</v>
      </c>
      <c r="AG50" s="29">
        <f>$U$52</f>
        <v>0.24739701304208819</v>
      </c>
      <c r="AH50" s="29">
        <f>$V$52</f>
        <v>-0.63965391608149802</v>
      </c>
      <c r="AI50" s="29">
        <f>$W$52</f>
        <v>-0.8659998252448543</v>
      </c>
      <c r="AJ50" s="29">
        <f>$X$52</f>
        <v>-0.57535625145443958</v>
      </c>
      <c r="AK50" s="29">
        <f t="shared" si="1"/>
        <v>66.5</v>
      </c>
    </row>
    <row r="51" spans="1:37" ht="7.5" customHeight="1" x14ac:dyDescent="0.25">
      <c r="A51" s="1"/>
      <c r="B51" s="1"/>
      <c r="C51" s="7" t="str">
        <f>$AB$54</f>
        <v>S038</v>
      </c>
      <c r="D51" s="8">
        <f>$AC$54</f>
        <v>5</v>
      </c>
      <c r="E51" s="8">
        <f>$AD$54</f>
        <v>12</v>
      </c>
      <c r="F51" s="1"/>
      <c r="G51" s="9">
        <f>$AE$54</f>
        <v>0.49452304835636962</v>
      </c>
      <c r="H51" s="9">
        <f>$AF$54</f>
        <v>0.42614988347096511</v>
      </c>
      <c r="I51" s="9">
        <f>$AG$54</f>
        <v>0.24739701304208819</v>
      </c>
      <c r="J51" s="9">
        <f>$AH$54</f>
        <v>-0.63965391608149802</v>
      </c>
      <c r="K51" s="9">
        <f>$AI$54</f>
        <v>-1.3366519041822751</v>
      </c>
      <c r="L51" s="9">
        <f>$AJ$54</f>
        <v>-0.57535625145443958</v>
      </c>
      <c r="M51" s="1"/>
      <c r="O51" s="27">
        <v>35</v>
      </c>
      <c r="P51" s="28" t="s">
        <v>72</v>
      </c>
      <c r="Q51" s="27">
        <v>5</v>
      </c>
      <c r="R51" s="27">
        <v>12</v>
      </c>
      <c r="S51" s="29">
        <v>0.49452304835636962</v>
      </c>
      <c r="T51" s="29">
        <v>0.42614988347096511</v>
      </c>
      <c r="U51" s="29">
        <v>0.24739701304208819</v>
      </c>
      <c r="V51" s="29">
        <v>-0.63965391608149802</v>
      </c>
      <c r="W51" s="29">
        <v>-0.8659998252448543</v>
      </c>
      <c r="X51" s="29">
        <v>-0.57535625145443958</v>
      </c>
      <c r="Z51" s="27">
        <v>35</v>
      </c>
      <c r="AA51" s="27">
        <v>34</v>
      </c>
      <c r="AB51" s="28" t="str">
        <f>$P$50</f>
        <v>S034</v>
      </c>
      <c r="AC51" s="27">
        <f>$Q$50</f>
        <v>5</v>
      </c>
      <c r="AD51" s="27">
        <f>$R$50</f>
        <v>12</v>
      </c>
      <c r="AE51" s="29">
        <f>$S$50</f>
        <v>0.49452304835636962</v>
      </c>
      <c r="AF51" s="29">
        <f>$T$50</f>
        <v>0.42614988347096511</v>
      </c>
      <c r="AG51" s="29">
        <f>$U$50</f>
        <v>0.24739701304208819</v>
      </c>
      <c r="AH51" s="29">
        <f>$V$50</f>
        <v>-0.63965391608149802</v>
      </c>
      <c r="AI51" s="29">
        <f>$W$50</f>
        <v>-0.8659998252448543</v>
      </c>
      <c r="AJ51" s="29">
        <f>$X$50</f>
        <v>-0.57535625145443958</v>
      </c>
      <c r="AK51" s="29">
        <f t="shared" si="1"/>
        <v>65.5</v>
      </c>
    </row>
    <row r="52" spans="1:37" ht="7.5" customHeight="1" x14ac:dyDescent="0.25">
      <c r="A52" s="1"/>
      <c r="B52" s="1"/>
      <c r="C52" s="7" t="str">
        <f>$AB$55</f>
        <v>S039</v>
      </c>
      <c r="D52" s="8">
        <f>$AC$55</f>
        <v>9</v>
      </c>
      <c r="E52" s="8">
        <f>$AD$55</f>
        <v>12</v>
      </c>
      <c r="F52" s="1"/>
      <c r="G52" s="9">
        <f>$AE$55</f>
        <v>0.80455993564816541</v>
      </c>
      <c r="H52" s="9">
        <f>$AF$55</f>
        <v>0.52860725089243688</v>
      </c>
      <c r="I52" s="9">
        <f>$AG$55</f>
        <v>0.2274256344796855</v>
      </c>
      <c r="J52" s="9">
        <f>$AH$55</f>
        <v>0.29993782905051758</v>
      </c>
      <c r="K52" s="9">
        <f>$AI$55</f>
        <v>-0.8659998252448543</v>
      </c>
      <c r="L52" s="9">
        <f>$AJ$55</f>
        <v>-0.57535625145443958</v>
      </c>
      <c r="M52" s="1"/>
      <c r="O52" s="27">
        <v>36</v>
      </c>
      <c r="P52" s="28" t="s">
        <v>73</v>
      </c>
      <c r="Q52" s="27">
        <v>5</v>
      </c>
      <c r="R52" s="27">
        <v>12</v>
      </c>
      <c r="S52" s="29">
        <v>0.49452304835636962</v>
      </c>
      <c r="T52" s="29">
        <v>0.42614988347096511</v>
      </c>
      <c r="U52" s="29">
        <v>0.24739701304208819</v>
      </c>
      <c r="V52" s="29">
        <v>-0.63965391608149802</v>
      </c>
      <c r="W52" s="29">
        <v>-0.8659998252448543</v>
      </c>
      <c r="X52" s="29">
        <v>-0.57535625145443958</v>
      </c>
      <c r="Z52" s="27">
        <v>36</v>
      </c>
      <c r="AA52" s="27">
        <v>35</v>
      </c>
      <c r="AB52" s="28" t="str">
        <f>$P$51</f>
        <v>S035</v>
      </c>
      <c r="AC52" s="27">
        <f>$Q$51</f>
        <v>5</v>
      </c>
      <c r="AD52" s="27">
        <f>$R$51</f>
        <v>12</v>
      </c>
      <c r="AE52" s="29">
        <f>$S$51</f>
        <v>0.49452304835636962</v>
      </c>
      <c r="AF52" s="29">
        <f>$T$51</f>
        <v>0.42614988347096511</v>
      </c>
      <c r="AG52" s="29">
        <f>$U$51</f>
        <v>0.24739701304208819</v>
      </c>
      <c r="AH52" s="29">
        <f>$V$51</f>
        <v>-0.63965391608149802</v>
      </c>
      <c r="AI52" s="29">
        <f>$W$51</f>
        <v>-0.8659998252448543</v>
      </c>
      <c r="AJ52" s="29">
        <f>$X$51</f>
        <v>-0.57535625145443958</v>
      </c>
      <c r="AK52" s="29">
        <f t="shared" si="1"/>
        <v>64.5</v>
      </c>
    </row>
    <row r="53" spans="1:37" ht="7.5" customHeight="1" x14ac:dyDescent="0.25">
      <c r="A53" s="1"/>
      <c r="B53" s="1"/>
      <c r="C53" s="7" t="str">
        <f>$AB$56</f>
        <v>S040</v>
      </c>
      <c r="D53" s="8">
        <f>$AC$56</f>
        <v>9</v>
      </c>
      <c r="E53" s="8">
        <f>$AD$56</f>
        <v>4</v>
      </c>
      <c r="F53" s="1"/>
      <c r="G53" s="9">
        <f>$AE$56</f>
        <v>1.2648256361824199</v>
      </c>
      <c r="H53" s="9">
        <f>$AF$56</f>
        <v>0.82364821154069623</v>
      </c>
      <c r="I53" s="9">
        <f>$AG$56</f>
        <v>0.71822893893173956</v>
      </c>
      <c r="J53" s="9">
        <f>$AH$56</f>
        <v>-0.16400380186790819</v>
      </c>
      <c r="K53" s="9">
        <f>$AI$56</f>
        <v>-0.8659998252448543</v>
      </c>
      <c r="L53" s="9">
        <f>$AJ$56</f>
        <v>-7.3081042851698697E-2</v>
      </c>
      <c r="M53" s="1"/>
      <c r="O53" s="27">
        <v>37</v>
      </c>
      <c r="P53" s="28" t="s">
        <v>74</v>
      </c>
      <c r="Q53" s="27">
        <v>5</v>
      </c>
      <c r="R53" s="27">
        <v>12</v>
      </c>
      <c r="S53" s="29">
        <v>0.49452304835636962</v>
      </c>
      <c r="T53" s="29">
        <v>0.42614988347096511</v>
      </c>
      <c r="U53" s="29">
        <v>0.24739701304208819</v>
      </c>
      <c r="V53" s="29">
        <v>-0.63965391608149802</v>
      </c>
      <c r="W53" s="29">
        <v>-1.3366519041822751</v>
      </c>
      <c r="X53" s="29">
        <v>-0.57535625145443958</v>
      </c>
      <c r="Z53" s="27">
        <v>37</v>
      </c>
      <c r="AA53" s="27">
        <v>37</v>
      </c>
      <c r="AB53" s="28" t="str">
        <f>$P$53</f>
        <v>S037</v>
      </c>
      <c r="AC53" s="27">
        <f>$Q$53</f>
        <v>5</v>
      </c>
      <c r="AD53" s="27">
        <f>$R$53</f>
        <v>12</v>
      </c>
      <c r="AE53" s="29">
        <f>$S$53</f>
        <v>0.49452304835636962</v>
      </c>
      <c r="AF53" s="29">
        <f>$T$53</f>
        <v>0.42614988347096511</v>
      </c>
      <c r="AG53" s="29">
        <f>$U$53</f>
        <v>0.24739701304208819</v>
      </c>
      <c r="AH53" s="29">
        <f>$V$53</f>
        <v>-0.63965391608149802</v>
      </c>
      <c r="AI53" s="29">
        <f>$W$53</f>
        <v>-1.3366519041822751</v>
      </c>
      <c r="AJ53" s="29">
        <f>$X$53</f>
        <v>-0.57535625145443958</v>
      </c>
      <c r="AK53" s="29">
        <f t="shared" si="1"/>
        <v>63.5</v>
      </c>
    </row>
    <row r="54" spans="1:37" ht="7.5" customHeight="1" x14ac:dyDescent="0.25">
      <c r="A54" s="1"/>
      <c r="B54" s="1"/>
      <c r="C54" s="7" t="str">
        <f>$AB$57</f>
        <v>S041</v>
      </c>
      <c r="D54" s="8">
        <f>$AC$57</f>
        <v>9</v>
      </c>
      <c r="E54" s="8">
        <f>$AD$57</f>
        <v>4</v>
      </c>
      <c r="F54" s="1"/>
      <c r="G54" s="9">
        <f>$AE$57</f>
        <v>1.2648256361824199</v>
      </c>
      <c r="H54" s="9">
        <f>$AF$57</f>
        <v>0.82364821154069623</v>
      </c>
      <c r="I54" s="9">
        <f>$AG$57</f>
        <v>0.71822893893173956</v>
      </c>
      <c r="J54" s="9">
        <f>$AH$57</f>
        <v>-0.16400380186790819</v>
      </c>
      <c r="K54" s="9">
        <f>$AI$57</f>
        <v>-0.39534774630743341</v>
      </c>
      <c r="L54" s="9">
        <f>$AJ$57</f>
        <v>-0.32421864715306919</v>
      </c>
      <c r="M54" s="1"/>
      <c r="O54" s="27">
        <v>38</v>
      </c>
      <c r="P54" s="28" t="s">
        <v>75</v>
      </c>
      <c r="Q54" s="27">
        <v>5</v>
      </c>
      <c r="R54" s="27">
        <v>12</v>
      </c>
      <c r="S54" s="29">
        <v>0.49452304835636962</v>
      </c>
      <c r="T54" s="29">
        <v>0.42614988347096511</v>
      </c>
      <c r="U54" s="29">
        <v>0.24739701304208819</v>
      </c>
      <c r="V54" s="29">
        <v>-0.63965391608149802</v>
      </c>
      <c r="W54" s="29">
        <v>-1.3366519041822751</v>
      </c>
      <c r="X54" s="29">
        <v>-0.57535625145443958</v>
      </c>
      <c r="Z54" s="27">
        <v>38</v>
      </c>
      <c r="AA54" s="27">
        <v>38</v>
      </c>
      <c r="AB54" s="28" t="str">
        <f>$P$54</f>
        <v>S038</v>
      </c>
      <c r="AC54" s="27">
        <f>$Q$54</f>
        <v>5</v>
      </c>
      <c r="AD54" s="27">
        <f>$R$54</f>
        <v>12</v>
      </c>
      <c r="AE54" s="29">
        <f>$S$54</f>
        <v>0.49452304835636962</v>
      </c>
      <c r="AF54" s="29">
        <f>$T$54</f>
        <v>0.42614988347096511</v>
      </c>
      <c r="AG54" s="29">
        <f>$U$54</f>
        <v>0.24739701304208819</v>
      </c>
      <c r="AH54" s="29">
        <f>$V$54</f>
        <v>-0.63965391608149802</v>
      </c>
      <c r="AI54" s="29">
        <f>$W$54</f>
        <v>-1.3366519041822751</v>
      </c>
      <c r="AJ54" s="29">
        <f>$X$54</f>
        <v>-0.57535625145443958</v>
      </c>
      <c r="AK54" s="29">
        <f t="shared" si="1"/>
        <v>62.5</v>
      </c>
    </row>
    <row r="55" spans="1:37" ht="7.5" customHeight="1" x14ac:dyDescent="0.25">
      <c r="A55" s="1"/>
      <c r="B55" s="1"/>
      <c r="C55" s="7" t="str">
        <f>$AB$58</f>
        <v>S042</v>
      </c>
      <c r="D55" s="8">
        <f>$AC$58</f>
        <v>6</v>
      </c>
      <c r="E55" s="8">
        <f>$AD$58</f>
        <v>12</v>
      </c>
      <c r="F55" s="1"/>
      <c r="G55" s="9">
        <f>$AE$58</f>
        <v>1.5053427886397941</v>
      </c>
      <c r="H55" s="9">
        <f>$AF$58</f>
        <v>0.70133842600965923</v>
      </c>
      <c r="I55" s="9">
        <f>$AG$58</f>
        <v>4.2645828331876398E-2</v>
      </c>
      <c r="J55" s="9">
        <f>$AH$58</f>
        <v>-0.86991655415434421</v>
      </c>
      <c r="K55" s="9">
        <f>$AI$58</f>
        <v>7.5304332629987397E-2</v>
      </c>
      <c r="L55" s="9">
        <f>$AJ$58</f>
        <v>-0.57535625145443958</v>
      </c>
      <c r="M55" s="1"/>
      <c r="O55" s="27">
        <v>39</v>
      </c>
      <c r="P55" s="28" t="s">
        <v>76</v>
      </c>
      <c r="Q55" s="27">
        <v>9</v>
      </c>
      <c r="R55" s="27">
        <v>12</v>
      </c>
      <c r="S55" s="29">
        <v>0.80455993564816541</v>
      </c>
      <c r="T55" s="29">
        <v>0.52860725089243688</v>
      </c>
      <c r="U55" s="29">
        <v>0.2274256344796855</v>
      </c>
      <c r="V55" s="29">
        <v>0.29993782905051758</v>
      </c>
      <c r="W55" s="29">
        <v>-0.8659998252448543</v>
      </c>
      <c r="X55" s="29">
        <v>-0.57535625145443958</v>
      </c>
      <c r="Z55" s="27">
        <v>39</v>
      </c>
      <c r="AA55" s="27">
        <v>39</v>
      </c>
      <c r="AB55" s="28" t="str">
        <f>$P$55</f>
        <v>S039</v>
      </c>
      <c r="AC55" s="27">
        <f>$Q$55</f>
        <v>9</v>
      </c>
      <c r="AD55" s="27">
        <f>$R$55</f>
        <v>12</v>
      </c>
      <c r="AE55" s="29">
        <f>$S$55</f>
        <v>0.80455993564816541</v>
      </c>
      <c r="AF55" s="29">
        <f>$T$55</f>
        <v>0.52860725089243688</v>
      </c>
      <c r="AG55" s="29">
        <f>$U$55</f>
        <v>0.2274256344796855</v>
      </c>
      <c r="AH55" s="29">
        <f>$V$55</f>
        <v>0.29993782905051758</v>
      </c>
      <c r="AI55" s="29">
        <f>$W$55</f>
        <v>-0.8659998252448543</v>
      </c>
      <c r="AJ55" s="29">
        <f>$X$55</f>
        <v>-0.57535625145443958</v>
      </c>
      <c r="AK55" s="29">
        <f t="shared" si="1"/>
        <v>61.5</v>
      </c>
    </row>
    <row r="56" spans="1:37" ht="7.5" customHeight="1" x14ac:dyDescent="0.25">
      <c r="A56" s="1"/>
      <c r="B56" s="1"/>
      <c r="C56" s="7" t="str">
        <f>$AB$59</f>
        <v>S043</v>
      </c>
      <c r="D56" s="8">
        <f>$AC$59</f>
        <v>6</v>
      </c>
      <c r="E56" s="8">
        <f>$AD$59</f>
        <v>12</v>
      </c>
      <c r="F56" s="1"/>
      <c r="G56" s="9">
        <f>$AE$59</f>
        <v>1.5053427886397941</v>
      </c>
      <c r="H56" s="9">
        <f>$AF$59</f>
        <v>0.70133842600965923</v>
      </c>
      <c r="I56" s="9">
        <f>$AG$59</f>
        <v>4.2645828331876398E-2</v>
      </c>
      <c r="J56" s="9">
        <f>$AH$59</f>
        <v>-0.86991655415434421</v>
      </c>
      <c r="K56" s="9">
        <f>$AI$59</f>
        <v>7.5304332629987397E-2</v>
      </c>
      <c r="L56" s="9">
        <f>$AJ$59</f>
        <v>-0.57535625145443958</v>
      </c>
      <c r="M56" s="1"/>
      <c r="O56" s="27">
        <v>40</v>
      </c>
      <c r="P56" s="28" t="s">
        <v>77</v>
      </c>
      <c r="Q56" s="27">
        <v>9</v>
      </c>
      <c r="R56" s="27">
        <v>4</v>
      </c>
      <c r="S56" s="29">
        <v>1.2648256361824199</v>
      </c>
      <c r="T56" s="29">
        <v>0.82364821154069623</v>
      </c>
      <c r="U56" s="29">
        <v>0.71822893893173956</v>
      </c>
      <c r="V56" s="29">
        <v>-0.16400380186790819</v>
      </c>
      <c r="W56" s="29">
        <v>-0.8659998252448543</v>
      </c>
      <c r="X56" s="29">
        <v>-7.3081042851698697E-2</v>
      </c>
      <c r="Z56" s="27">
        <v>40</v>
      </c>
      <c r="AA56" s="27">
        <v>40</v>
      </c>
      <c r="AB56" s="28" t="str">
        <f>$P$56</f>
        <v>S040</v>
      </c>
      <c r="AC56" s="27">
        <f>$Q$56</f>
        <v>9</v>
      </c>
      <c r="AD56" s="27">
        <f>$R$56</f>
        <v>4</v>
      </c>
      <c r="AE56" s="29">
        <f>$S$56</f>
        <v>1.2648256361824199</v>
      </c>
      <c r="AF56" s="29">
        <f>$T$56</f>
        <v>0.82364821154069623</v>
      </c>
      <c r="AG56" s="29">
        <f>$U$56</f>
        <v>0.71822893893173956</v>
      </c>
      <c r="AH56" s="29">
        <f>$V$56</f>
        <v>-0.16400380186790819</v>
      </c>
      <c r="AI56" s="29">
        <f>$W$56</f>
        <v>-0.8659998252448543</v>
      </c>
      <c r="AJ56" s="29">
        <f>$X$56</f>
        <v>-7.3081042851698697E-2</v>
      </c>
      <c r="AK56" s="29">
        <f t="shared" si="1"/>
        <v>60.5</v>
      </c>
    </row>
    <row r="57" spans="1:37" ht="7.5" customHeight="1" x14ac:dyDescent="0.25">
      <c r="A57" s="1"/>
      <c r="B57" s="1"/>
      <c r="C57" s="7" t="str">
        <f>$AB$60</f>
        <v>S044</v>
      </c>
      <c r="D57" s="8">
        <f>$AC$60</f>
        <v>6</v>
      </c>
      <c r="E57" s="8">
        <f>$AD$60</f>
        <v>12</v>
      </c>
      <c r="F57" s="1"/>
      <c r="G57" s="9">
        <f>$AE$60</f>
        <v>1.5053427886397941</v>
      </c>
      <c r="H57" s="9">
        <f>$AF$60</f>
        <v>0.70133842600965923</v>
      </c>
      <c r="I57" s="9">
        <f>$AG$60</f>
        <v>4.2645828331876398E-2</v>
      </c>
      <c r="J57" s="9">
        <f>$AH$60</f>
        <v>-0.86991655415434421</v>
      </c>
      <c r="K57" s="9">
        <f>$AI$60</f>
        <v>-1.3366519041822751</v>
      </c>
      <c r="L57" s="9">
        <f>$AJ$60</f>
        <v>-0.57535625145443958</v>
      </c>
      <c r="M57" s="1"/>
      <c r="O57" s="27">
        <v>41</v>
      </c>
      <c r="P57" s="28" t="s">
        <v>78</v>
      </c>
      <c r="Q57" s="27">
        <v>9</v>
      </c>
      <c r="R57" s="27">
        <v>4</v>
      </c>
      <c r="S57" s="29">
        <v>1.2648256361824199</v>
      </c>
      <c r="T57" s="29">
        <v>0.82364821154069623</v>
      </c>
      <c r="U57" s="29">
        <v>0.71822893893173956</v>
      </c>
      <c r="V57" s="29">
        <v>-0.16400380186790819</v>
      </c>
      <c r="W57" s="29">
        <v>-0.39534774630743341</v>
      </c>
      <c r="X57" s="29">
        <v>-0.32421864715306919</v>
      </c>
      <c r="Z57" s="27">
        <v>41</v>
      </c>
      <c r="AA57" s="27">
        <v>41</v>
      </c>
      <c r="AB57" s="28" t="str">
        <f>$P$57</f>
        <v>S041</v>
      </c>
      <c r="AC57" s="27">
        <f>$Q$57</f>
        <v>9</v>
      </c>
      <c r="AD57" s="27">
        <f>$R$57</f>
        <v>4</v>
      </c>
      <c r="AE57" s="29">
        <f>$S$57</f>
        <v>1.2648256361824199</v>
      </c>
      <c r="AF57" s="29">
        <f>$T$57</f>
        <v>0.82364821154069623</v>
      </c>
      <c r="AG57" s="29">
        <f>$U$57</f>
        <v>0.71822893893173956</v>
      </c>
      <c r="AH57" s="29">
        <f>$V$57</f>
        <v>-0.16400380186790819</v>
      </c>
      <c r="AI57" s="29">
        <f>$W$57</f>
        <v>-0.39534774630743341</v>
      </c>
      <c r="AJ57" s="29">
        <f>$X$57</f>
        <v>-0.32421864715306919</v>
      </c>
      <c r="AK57" s="29">
        <f t="shared" si="1"/>
        <v>59.5</v>
      </c>
    </row>
    <row r="58" spans="1:37" ht="7.5" customHeight="1" x14ac:dyDescent="0.25">
      <c r="A58" s="1"/>
      <c r="B58" s="1"/>
      <c r="C58" s="7" t="str">
        <f>$AB$61</f>
        <v>S045</v>
      </c>
      <c r="D58" s="8">
        <f>$AC$61</f>
        <v>6</v>
      </c>
      <c r="E58" s="8">
        <f>$AD$61</f>
        <v>12</v>
      </c>
      <c r="F58" s="1"/>
      <c r="G58" s="9">
        <f>$AE$61</f>
        <v>1.5053427886397941</v>
      </c>
      <c r="H58" s="9">
        <f>$AF$61</f>
        <v>0.70133842600965923</v>
      </c>
      <c r="I58" s="9">
        <f>$AG$61</f>
        <v>4.2645828331876398E-2</v>
      </c>
      <c r="J58" s="9">
        <f>$AH$61</f>
        <v>-0.86991655415434421</v>
      </c>
      <c r="K58" s="9">
        <f>$AI$61</f>
        <v>-0.39534774630743341</v>
      </c>
      <c r="L58" s="9">
        <f>$AJ$61</f>
        <v>-0.57535625145443958</v>
      </c>
      <c r="M58" s="1"/>
      <c r="O58" s="27">
        <v>42</v>
      </c>
      <c r="P58" s="28" t="s">
        <v>79</v>
      </c>
      <c r="Q58" s="27">
        <v>6</v>
      </c>
      <c r="R58" s="27">
        <v>12</v>
      </c>
      <c r="S58" s="29">
        <v>1.5053427886397941</v>
      </c>
      <c r="T58" s="29">
        <v>0.70133842600965923</v>
      </c>
      <c r="U58" s="29">
        <v>4.2645828331876398E-2</v>
      </c>
      <c r="V58" s="29">
        <v>-0.86991655415434421</v>
      </c>
      <c r="W58" s="29">
        <v>7.5304332629987397E-2</v>
      </c>
      <c r="X58" s="29">
        <v>-0.57535625145443958</v>
      </c>
      <c r="Z58" s="27">
        <v>42</v>
      </c>
      <c r="AA58" s="27">
        <v>42</v>
      </c>
      <c r="AB58" s="28" t="str">
        <f>$P$58</f>
        <v>S042</v>
      </c>
      <c r="AC58" s="27">
        <f>$Q$58</f>
        <v>6</v>
      </c>
      <c r="AD58" s="27">
        <f>$R$58</f>
        <v>12</v>
      </c>
      <c r="AE58" s="29">
        <f>$S$58</f>
        <v>1.5053427886397941</v>
      </c>
      <c r="AF58" s="29">
        <f>$T$58</f>
        <v>0.70133842600965923</v>
      </c>
      <c r="AG58" s="29">
        <f>$U$58</f>
        <v>4.2645828331876398E-2</v>
      </c>
      <c r="AH58" s="29">
        <f>$V$58</f>
        <v>-0.86991655415434421</v>
      </c>
      <c r="AI58" s="29">
        <f>$W$58</f>
        <v>7.5304332629987397E-2</v>
      </c>
      <c r="AJ58" s="29">
        <f>$X$58</f>
        <v>-0.57535625145443958</v>
      </c>
      <c r="AK58" s="29">
        <f t="shared" si="1"/>
        <v>58.5</v>
      </c>
    </row>
    <row r="59" spans="1:37" ht="7.5" customHeight="1" x14ac:dyDescent="0.25">
      <c r="A59" s="1"/>
      <c r="B59" s="1"/>
      <c r="C59" s="7" t="str">
        <f>$AB$62</f>
        <v>S046</v>
      </c>
      <c r="D59" s="8">
        <f>$AC$62</f>
        <v>6</v>
      </c>
      <c r="E59" s="8">
        <f>$AD$62</f>
        <v>12</v>
      </c>
      <c r="F59" s="1"/>
      <c r="G59" s="9">
        <f>$AE$62</f>
        <v>1.5053427886397941</v>
      </c>
      <c r="H59" s="9">
        <f>$AF$62</f>
        <v>0.70133842600965923</v>
      </c>
      <c r="I59" s="9">
        <f>$AG$62</f>
        <v>4.2645828331876398E-2</v>
      </c>
      <c r="J59" s="9">
        <f>$AH$62</f>
        <v>-0.86991655415434421</v>
      </c>
      <c r="K59" s="9">
        <f>$AI$62</f>
        <v>-0.8659998252448543</v>
      </c>
      <c r="L59" s="9">
        <f>$AJ$62</f>
        <v>-0.57535625145443958</v>
      </c>
      <c r="M59" s="1"/>
      <c r="O59" s="27">
        <v>43</v>
      </c>
      <c r="P59" s="28" t="s">
        <v>80</v>
      </c>
      <c r="Q59" s="27">
        <v>6</v>
      </c>
      <c r="R59" s="27">
        <v>12</v>
      </c>
      <c r="S59" s="29">
        <v>1.5053427886397941</v>
      </c>
      <c r="T59" s="29">
        <v>0.70133842600965923</v>
      </c>
      <c r="U59" s="29">
        <v>4.2645828331876398E-2</v>
      </c>
      <c r="V59" s="29">
        <v>-0.86991655415434421</v>
      </c>
      <c r="W59" s="29">
        <v>7.5304332629987397E-2</v>
      </c>
      <c r="X59" s="29">
        <v>-0.57535625145443958</v>
      </c>
      <c r="Z59" s="27">
        <v>43</v>
      </c>
      <c r="AA59" s="27">
        <v>43</v>
      </c>
      <c r="AB59" s="28" t="str">
        <f>$P$59</f>
        <v>S043</v>
      </c>
      <c r="AC59" s="27">
        <f>$Q$59</f>
        <v>6</v>
      </c>
      <c r="AD59" s="27">
        <f>$R$59</f>
        <v>12</v>
      </c>
      <c r="AE59" s="29">
        <f>$S$59</f>
        <v>1.5053427886397941</v>
      </c>
      <c r="AF59" s="29">
        <f>$T$59</f>
        <v>0.70133842600965923</v>
      </c>
      <c r="AG59" s="29">
        <f>$U$59</f>
        <v>4.2645828331876398E-2</v>
      </c>
      <c r="AH59" s="29">
        <f>$V$59</f>
        <v>-0.86991655415434421</v>
      </c>
      <c r="AI59" s="29">
        <f>$W$59</f>
        <v>7.5304332629987397E-2</v>
      </c>
      <c r="AJ59" s="29">
        <f>$X$59</f>
        <v>-0.57535625145443958</v>
      </c>
      <c r="AK59" s="29">
        <f t="shared" si="1"/>
        <v>57.5</v>
      </c>
    </row>
    <row r="60" spans="1:37" ht="7.5" customHeight="1" x14ac:dyDescent="0.25">
      <c r="A60" s="1"/>
      <c r="B60" s="1"/>
      <c r="C60" s="7" t="str">
        <f>$AB$63</f>
        <v>S047</v>
      </c>
      <c r="D60" s="8">
        <f>$AC$63</f>
        <v>3</v>
      </c>
      <c r="E60" s="8">
        <f>$AD$63</f>
        <v>12</v>
      </c>
      <c r="F60" s="1"/>
      <c r="G60" s="9">
        <f>$AE$63</f>
        <v>-0.35741359231778891</v>
      </c>
      <c r="H60" s="9">
        <f>$AF$63</f>
        <v>0.19921753020329769</v>
      </c>
      <c r="I60" s="9">
        <f>$AG$63</f>
        <v>-0.13742978920424609</v>
      </c>
      <c r="J60" s="9">
        <f>$AH$63</f>
        <v>-0.41264155992579821</v>
      </c>
      <c r="K60" s="9">
        <f>$AI$63</f>
        <v>7.5304332629987397E-2</v>
      </c>
      <c r="L60" s="9">
        <f>$AJ$63</f>
        <v>0.93146937435378296</v>
      </c>
      <c r="M60" s="1"/>
      <c r="O60" s="27">
        <v>44</v>
      </c>
      <c r="P60" s="28" t="s">
        <v>81</v>
      </c>
      <c r="Q60" s="27">
        <v>6</v>
      </c>
      <c r="R60" s="27">
        <v>12</v>
      </c>
      <c r="S60" s="29">
        <v>1.5053427886397941</v>
      </c>
      <c r="T60" s="29">
        <v>0.70133842600965923</v>
      </c>
      <c r="U60" s="29">
        <v>4.2645828331876398E-2</v>
      </c>
      <c r="V60" s="29">
        <v>-0.86991655415434421</v>
      </c>
      <c r="W60" s="29">
        <v>-1.3366519041822751</v>
      </c>
      <c r="X60" s="29">
        <v>-0.57535625145443958</v>
      </c>
      <c r="Z60" s="27">
        <v>44</v>
      </c>
      <c r="AA60" s="27">
        <v>44</v>
      </c>
      <c r="AB60" s="28" t="str">
        <f>$P$60</f>
        <v>S044</v>
      </c>
      <c r="AC60" s="27">
        <f>$Q$60</f>
        <v>6</v>
      </c>
      <c r="AD60" s="27">
        <f>$R$60</f>
        <v>12</v>
      </c>
      <c r="AE60" s="29">
        <f>$S$60</f>
        <v>1.5053427886397941</v>
      </c>
      <c r="AF60" s="29">
        <f>$T$60</f>
        <v>0.70133842600965923</v>
      </c>
      <c r="AG60" s="29">
        <f>$U$60</f>
        <v>4.2645828331876398E-2</v>
      </c>
      <c r="AH60" s="29">
        <f>$V$60</f>
        <v>-0.86991655415434421</v>
      </c>
      <c r="AI60" s="29">
        <f>$W$60</f>
        <v>-1.3366519041822751</v>
      </c>
      <c r="AJ60" s="29">
        <f>$X$60</f>
        <v>-0.57535625145443958</v>
      </c>
      <c r="AK60" s="29">
        <f t="shared" si="1"/>
        <v>56.5</v>
      </c>
    </row>
    <row r="61" spans="1:37" ht="7.5" customHeight="1" x14ac:dyDescent="0.25">
      <c r="A61" s="1"/>
      <c r="B61" s="1"/>
      <c r="C61" s="7" t="str">
        <f>$AB$64</f>
        <v>S048</v>
      </c>
      <c r="D61" s="8">
        <f>$AC$64</f>
        <v>3</v>
      </c>
      <c r="E61" s="8">
        <f>$AD$64</f>
        <v>12</v>
      </c>
      <c r="F61" s="1"/>
      <c r="G61" s="9">
        <f>$AE$64</f>
        <v>-0.35741359231778891</v>
      </c>
      <c r="H61" s="9">
        <f>$AF$64</f>
        <v>0.19921753020329769</v>
      </c>
      <c r="I61" s="9">
        <f>$AG$64</f>
        <v>-0.13742978920424609</v>
      </c>
      <c r="J61" s="9">
        <f>$AH$64</f>
        <v>-0.41264155992579821</v>
      </c>
      <c r="K61" s="9">
        <f>$AI$64</f>
        <v>1.48726056944225</v>
      </c>
      <c r="L61" s="9">
        <f>$AJ$64</f>
        <v>0.68033177005241252</v>
      </c>
      <c r="M61" s="1"/>
      <c r="O61" s="27">
        <v>45</v>
      </c>
      <c r="P61" s="28" t="s">
        <v>82</v>
      </c>
      <c r="Q61" s="27">
        <v>6</v>
      </c>
      <c r="R61" s="27">
        <v>12</v>
      </c>
      <c r="S61" s="29">
        <v>1.5053427886397941</v>
      </c>
      <c r="T61" s="29">
        <v>0.70133842600965923</v>
      </c>
      <c r="U61" s="29">
        <v>4.2645828331876398E-2</v>
      </c>
      <c r="V61" s="29">
        <v>-0.86991655415434421</v>
      </c>
      <c r="W61" s="29">
        <v>-0.39534774630743341</v>
      </c>
      <c r="X61" s="29">
        <v>-0.57535625145443958</v>
      </c>
      <c r="Z61" s="27">
        <v>45</v>
      </c>
      <c r="AA61" s="27">
        <v>45</v>
      </c>
      <c r="AB61" s="28" t="str">
        <f>$P$61</f>
        <v>S045</v>
      </c>
      <c r="AC61" s="27">
        <f>$Q$61</f>
        <v>6</v>
      </c>
      <c r="AD61" s="27">
        <f>$R$61</f>
        <v>12</v>
      </c>
      <c r="AE61" s="29">
        <f>$S$61</f>
        <v>1.5053427886397941</v>
      </c>
      <c r="AF61" s="29">
        <f>$T$61</f>
        <v>0.70133842600965923</v>
      </c>
      <c r="AG61" s="29">
        <f>$U$61</f>
        <v>4.2645828331876398E-2</v>
      </c>
      <c r="AH61" s="29">
        <f>$V$61</f>
        <v>-0.86991655415434421</v>
      </c>
      <c r="AI61" s="29">
        <f>$W$61</f>
        <v>-0.39534774630743341</v>
      </c>
      <c r="AJ61" s="29">
        <f>$X$61</f>
        <v>-0.57535625145443958</v>
      </c>
      <c r="AK61" s="29">
        <f t="shared" si="1"/>
        <v>55.5</v>
      </c>
    </row>
    <row r="62" spans="1:37" ht="7.5" customHeight="1" x14ac:dyDescent="0.25">
      <c r="A62" s="1"/>
      <c r="B62" s="1"/>
      <c r="C62" s="7" t="str">
        <f>$AB$65</f>
        <v>S049</v>
      </c>
      <c r="D62" s="8">
        <f>$AC$65</f>
        <v>7</v>
      </c>
      <c r="E62" s="8">
        <f>$AD$65</f>
        <v>12</v>
      </c>
      <c r="F62" s="1"/>
      <c r="G62" s="9">
        <f>$AE$65</f>
        <v>-0.19571905985712729</v>
      </c>
      <c r="H62" s="9">
        <f>$AF$65</f>
        <v>-0.23876131655430399</v>
      </c>
      <c r="I62" s="9">
        <f>$AG$65</f>
        <v>-0.2594844058108205</v>
      </c>
      <c r="J62" s="9">
        <f>$AH$65</f>
        <v>0.40720903783800799</v>
      </c>
      <c r="K62" s="9">
        <f>$AI$65</f>
        <v>1.0166084905048289</v>
      </c>
      <c r="L62" s="9">
        <f>$AJ$65</f>
        <v>0.42919416575104208</v>
      </c>
      <c r="M62" s="1"/>
      <c r="O62" s="27">
        <v>46</v>
      </c>
      <c r="P62" s="28" t="s">
        <v>83</v>
      </c>
      <c r="Q62" s="27">
        <v>6</v>
      </c>
      <c r="R62" s="27">
        <v>12</v>
      </c>
      <c r="S62" s="29">
        <v>1.5053427886397941</v>
      </c>
      <c r="T62" s="29">
        <v>0.70133842600965923</v>
      </c>
      <c r="U62" s="29">
        <v>4.2645828331876398E-2</v>
      </c>
      <c r="V62" s="29">
        <v>-0.86991655415434421</v>
      </c>
      <c r="W62" s="29">
        <v>-0.8659998252448543</v>
      </c>
      <c r="X62" s="29">
        <v>-0.57535625145443958</v>
      </c>
      <c r="Z62" s="27">
        <v>46</v>
      </c>
      <c r="AA62" s="27">
        <v>46</v>
      </c>
      <c r="AB62" s="28" t="str">
        <f>$P$62</f>
        <v>S046</v>
      </c>
      <c r="AC62" s="27">
        <f>$Q$62</f>
        <v>6</v>
      </c>
      <c r="AD62" s="27">
        <f>$R$62</f>
        <v>12</v>
      </c>
      <c r="AE62" s="29">
        <f>$S$62</f>
        <v>1.5053427886397941</v>
      </c>
      <c r="AF62" s="29">
        <f>$T$62</f>
        <v>0.70133842600965923</v>
      </c>
      <c r="AG62" s="29">
        <f>$U$62</f>
        <v>4.2645828331876398E-2</v>
      </c>
      <c r="AH62" s="29">
        <f>$V$62</f>
        <v>-0.86991655415434421</v>
      </c>
      <c r="AI62" s="29">
        <f>$W$62</f>
        <v>-0.8659998252448543</v>
      </c>
      <c r="AJ62" s="29">
        <f>$X$62</f>
        <v>-0.57535625145443958</v>
      </c>
      <c r="AK62" s="29">
        <f t="shared" si="1"/>
        <v>54.5</v>
      </c>
    </row>
    <row r="63" spans="1:37" ht="7.5" customHeight="1" x14ac:dyDescent="0.25">
      <c r="A63" s="1"/>
      <c r="B63" s="1"/>
      <c r="C63" s="7" t="str">
        <f>$AB$66</f>
        <v>S050</v>
      </c>
      <c r="D63" s="8">
        <f>$AC$66</f>
        <v>8</v>
      </c>
      <c r="E63" s="8">
        <f>$AD$66</f>
        <v>12</v>
      </c>
      <c r="F63" s="1"/>
      <c r="G63" s="9">
        <f>$AE$66</f>
        <v>-0.88478795458884185</v>
      </c>
      <c r="H63" s="9">
        <f>$AF$66</f>
        <v>-0.15235687545253279</v>
      </c>
      <c r="I63" s="9">
        <f>$AG$66</f>
        <v>0.2794213198735363</v>
      </c>
      <c r="J63" s="9">
        <f>$AH$66</f>
        <v>1.6366943122153561</v>
      </c>
      <c r="K63" s="9">
        <f>$AI$66</f>
        <v>0.54595641156740826</v>
      </c>
      <c r="L63" s="9">
        <f>$AJ$66</f>
        <v>1.4337445829565241</v>
      </c>
      <c r="M63" s="1"/>
      <c r="O63" s="27">
        <v>47</v>
      </c>
      <c r="P63" s="28" t="s">
        <v>84</v>
      </c>
      <c r="Q63" s="27">
        <v>3</v>
      </c>
      <c r="R63" s="27">
        <v>12</v>
      </c>
      <c r="S63" s="29">
        <v>-0.35741359231778891</v>
      </c>
      <c r="T63" s="29">
        <v>0.19921753020329769</v>
      </c>
      <c r="U63" s="29">
        <v>-0.13742978920424609</v>
      </c>
      <c r="V63" s="29">
        <v>-0.41264155992579821</v>
      </c>
      <c r="W63" s="29">
        <v>7.5304332629987397E-2</v>
      </c>
      <c r="X63" s="29">
        <v>0.93146937435378296</v>
      </c>
      <c r="Z63" s="27">
        <v>47</v>
      </c>
      <c r="AA63" s="27">
        <v>47</v>
      </c>
      <c r="AB63" s="28" t="str">
        <f>$P$63</f>
        <v>S047</v>
      </c>
      <c r="AC63" s="27">
        <f>$Q$63</f>
        <v>3</v>
      </c>
      <c r="AD63" s="27">
        <f>$R$63</f>
        <v>12</v>
      </c>
      <c r="AE63" s="29">
        <f>$S$63</f>
        <v>-0.35741359231778891</v>
      </c>
      <c r="AF63" s="29">
        <f>$T$63</f>
        <v>0.19921753020329769</v>
      </c>
      <c r="AG63" s="29">
        <f>$U$63</f>
        <v>-0.13742978920424609</v>
      </c>
      <c r="AH63" s="29">
        <f>$V$63</f>
        <v>-0.41264155992579821</v>
      </c>
      <c r="AI63" s="29">
        <f>$W$63</f>
        <v>7.5304332629987397E-2</v>
      </c>
      <c r="AJ63" s="29">
        <f>$X$63</f>
        <v>0.93146937435378296</v>
      </c>
      <c r="AK63" s="29">
        <f t="shared" si="1"/>
        <v>53.5</v>
      </c>
    </row>
    <row r="64" spans="1:37" ht="7.5" customHeight="1" x14ac:dyDescent="0.25">
      <c r="A64" s="1"/>
      <c r="B64" s="1"/>
      <c r="C64" s="7" t="str">
        <f>$AB$67</f>
        <v>S051</v>
      </c>
      <c r="D64" s="8">
        <f>$AC$67</f>
        <v>8</v>
      </c>
      <c r="E64" s="8">
        <f>$AD$67</f>
        <v>4</v>
      </c>
      <c r="F64" s="1"/>
      <c r="G64" s="9">
        <f>$AE$67</f>
        <v>-0.88478795458884185</v>
      </c>
      <c r="H64" s="9">
        <f>$AF$67</f>
        <v>-0.40846546589119032</v>
      </c>
      <c r="I64" s="9">
        <f>$AG$67</f>
        <v>-0.77962601334600612</v>
      </c>
      <c r="J64" s="9">
        <f>$AH$67</f>
        <v>1.543856872720182</v>
      </c>
      <c r="K64" s="9">
        <f>$AI$67</f>
        <v>1.9579126483796709</v>
      </c>
      <c r="L64" s="9">
        <f>$AJ$67</f>
        <v>0.93146937435378296</v>
      </c>
      <c r="M64" s="1"/>
      <c r="O64" s="27">
        <v>48</v>
      </c>
      <c r="P64" s="28" t="s">
        <v>85</v>
      </c>
      <c r="Q64" s="27">
        <v>3</v>
      </c>
      <c r="R64" s="27">
        <v>12</v>
      </c>
      <c r="S64" s="29">
        <v>-0.35741359231778891</v>
      </c>
      <c r="T64" s="29">
        <v>0.19921753020329769</v>
      </c>
      <c r="U64" s="29">
        <v>-0.13742978920424609</v>
      </c>
      <c r="V64" s="29">
        <v>-0.41264155992579821</v>
      </c>
      <c r="W64" s="29">
        <v>1.48726056944225</v>
      </c>
      <c r="X64" s="29">
        <v>0.68033177005241252</v>
      </c>
      <c r="Z64" s="27">
        <v>48</v>
      </c>
      <c r="AA64" s="27">
        <v>48</v>
      </c>
      <c r="AB64" s="28" t="str">
        <f>$P$64</f>
        <v>S048</v>
      </c>
      <c r="AC64" s="27">
        <f>$Q$64</f>
        <v>3</v>
      </c>
      <c r="AD64" s="27">
        <f>$R$64</f>
        <v>12</v>
      </c>
      <c r="AE64" s="29">
        <f>$S$64</f>
        <v>-0.35741359231778891</v>
      </c>
      <c r="AF64" s="29">
        <f>$T$64</f>
        <v>0.19921753020329769</v>
      </c>
      <c r="AG64" s="29">
        <f>$U$64</f>
        <v>-0.13742978920424609</v>
      </c>
      <c r="AH64" s="29">
        <f>$V$64</f>
        <v>-0.41264155992579821</v>
      </c>
      <c r="AI64" s="29">
        <f>$W$64</f>
        <v>1.48726056944225</v>
      </c>
      <c r="AJ64" s="29">
        <f>$X$64</f>
        <v>0.68033177005241252</v>
      </c>
      <c r="AK64" s="29">
        <f t="shared" si="1"/>
        <v>52.5</v>
      </c>
    </row>
    <row r="65" spans="1:37" ht="7.5" customHeight="1" x14ac:dyDescent="0.25">
      <c r="A65" s="1"/>
      <c r="B65" s="1"/>
      <c r="C65" s="7" t="str">
        <f>$AB$68</f>
        <v>S052</v>
      </c>
      <c r="D65" s="8">
        <f>$AC$68</f>
        <v>7</v>
      </c>
      <c r="E65" s="8">
        <f>$AD$68</f>
        <v>12</v>
      </c>
      <c r="F65" s="1"/>
      <c r="G65" s="9">
        <f>$AE$68</f>
        <v>-0.19571905985712729</v>
      </c>
      <c r="H65" s="9">
        <f>$AF$68</f>
        <v>-0.23876131655430399</v>
      </c>
      <c r="I65" s="9">
        <f>$AG$68</f>
        <v>-0.2594844058108205</v>
      </c>
      <c r="J65" s="9">
        <f>$AH$68</f>
        <v>0.40720903783800799</v>
      </c>
      <c r="K65" s="9">
        <f>$AI$68</f>
        <v>2.4285647273170921</v>
      </c>
      <c r="L65" s="9">
        <f>$AJ$68</f>
        <v>1.182606978655153</v>
      </c>
      <c r="M65" s="1"/>
      <c r="O65" s="27">
        <v>49</v>
      </c>
      <c r="P65" s="28" t="s">
        <v>86</v>
      </c>
      <c r="Q65" s="27">
        <v>7</v>
      </c>
      <c r="R65" s="27">
        <v>12</v>
      </c>
      <c r="S65" s="29">
        <v>-0.19571905985712729</v>
      </c>
      <c r="T65" s="29">
        <v>-0.23876131655430399</v>
      </c>
      <c r="U65" s="29">
        <v>-0.2594844058108205</v>
      </c>
      <c r="V65" s="29">
        <v>0.40720903783800799</v>
      </c>
      <c r="W65" s="29">
        <v>1.0166084905048289</v>
      </c>
      <c r="X65" s="29">
        <v>0.42919416575104208</v>
      </c>
      <c r="Z65" s="27">
        <v>49</v>
      </c>
      <c r="AA65" s="27">
        <v>49</v>
      </c>
      <c r="AB65" s="28" t="str">
        <f>$P$65</f>
        <v>S049</v>
      </c>
      <c r="AC65" s="27">
        <f>$Q$65</f>
        <v>7</v>
      </c>
      <c r="AD65" s="27">
        <f>$R$65</f>
        <v>12</v>
      </c>
      <c r="AE65" s="29">
        <f>$S$65</f>
        <v>-0.19571905985712729</v>
      </c>
      <c r="AF65" s="29">
        <f>$T$65</f>
        <v>-0.23876131655430399</v>
      </c>
      <c r="AG65" s="29">
        <f>$U$65</f>
        <v>-0.2594844058108205</v>
      </c>
      <c r="AH65" s="29">
        <f>$V$65</f>
        <v>0.40720903783800799</v>
      </c>
      <c r="AI65" s="29">
        <f>$W$65</f>
        <v>1.0166084905048289</v>
      </c>
      <c r="AJ65" s="29">
        <f>$X$65</f>
        <v>0.42919416575104208</v>
      </c>
      <c r="AK65" s="29">
        <f t="shared" si="1"/>
        <v>51.5</v>
      </c>
    </row>
    <row r="66" spans="1:37" ht="7.5" customHeight="1" x14ac:dyDescent="0.25">
      <c r="A66" s="1"/>
      <c r="B66" s="1"/>
      <c r="C66" s="7" t="str">
        <f>$AB$69</f>
        <v>S053</v>
      </c>
      <c r="D66" s="8">
        <f>$AC$69</f>
        <v>4</v>
      </c>
      <c r="E66" s="8">
        <f>$AD$69</f>
        <v>4</v>
      </c>
      <c r="F66" s="1"/>
      <c r="G66" s="9">
        <f>$AE$69</f>
        <v>-0.74419202851656929</v>
      </c>
      <c r="H66" s="9">
        <f>$AF$69</f>
        <v>-1.4328998276458209</v>
      </c>
      <c r="I66" s="9">
        <f>$AG$69</f>
        <v>-1.773004776621806</v>
      </c>
      <c r="J66" s="9">
        <f>$AH$69</f>
        <v>0.89399479625396294</v>
      </c>
      <c r="K66" s="9">
        <f>$AI$69</f>
        <v>1.9579126483796709</v>
      </c>
      <c r="L66" s="9">
        <f>$AJ$69</f>
        <v>2.9405702087647461</v>
      </c>
      <c r="M66" s="1"/>
      <c r="O66" s="27">
        <v>50</v>
      </c>
      <c r="P66" s="28" t="s">
        <v>87</v>
      </c>
      <c r="Q66" s="27">
        <v>8</v>
      </c>
      <c r="R66" s="27">
        <v>12</v>
      </c>
      <c r="S66" s="29">
        <v>-0.88478795458884185</v>
      </c>
      <c r="T66" s="29">
        <v>-0.15235687545253279</v>
      </c>
      <c r="U66" s="29">
        <v>0.2794213198735363</v>
      </c>
      <c r="V66" s="29">
        <v>1.6366943122153561</v>
      </c>
      <c r="W66" s="29">
        <v>0.54595641156740826</v>
      </c>
      <c r="X66" s="29">
        <v>1.4337445829565241</v>
      </c>
      <c r="Z66" s="27">
        <v>50</v>
      </c>
      <c r="AA66" s="27">
        <v>50</v>
      </c>
      <c r="AB66" s="28" t="str">
        <f>$P$66</f>
        <v>S050</v>
      </c>
      <c r="AC66" s="27">
        <f>$Q$66</f>
        <v>8</v>
      </c>
      <c r="AD66" s="27">
        <f>$R$66</f>
        <v>12</v>
      </c>
      <c r="AE66" s="29">
        <f>$S$66</f>
        <v>-0.88478795458884185</v>
      </c>
      <c r="AF66" s="29">
        <f>$T$66</f>
        <v>-0.15235687545253279</v>
      </c>
      <c r="AG66" s="29">
        <f>$U$66</f>
        <v>0.2794213198735363</v>
      </c>
      <c r="AH66" s="29">
        <f>$V$66</f>
        <v>1.6366943122153561</v>
      </c>
      <c r="AI66" s="29">
        <f>$W$66</f>
        <v>0.54595641156740826</v>
      </c>
      <c r="AJ66" s="29">
        <f>$X$66</f>
        <v>1.4337445829565241</v>
      </c>
      <c r="AK66" s="29">
        <f t="shared" si="1"/>
        <v>50.5</v>
      </c>
    </row>
    <row r="67" spans="1:37" ht="7.5" customHeight="1" x14ac:dyDescent="0.25">
      <c r="A67" s="1"/>
      <c r="B67" s="1"/>
      <c r="C67" s="7" t="str">
        <f>$AB$70</f>
        <v>S054</v>
      </c>
      <c r="D67" s="8">
        <f>$AC$70</f>
        <v>4</v>
      </c>
      <c r="E67" s="8">
        <f>$AD$70</f>
        <v>12</v>
      </c>
      <c r="F67" s="1"/>
      <c r="G67" s="9">
        <f>$AE$70</f>
        <v>-1.0956818436972511</v>
      </c>
      <c r="H67" s="9">
        <f>$AF$70</f>
        <v>-1.2621607673533819</v>
      </c>
      <c r="I67" s="9">
        <f>$AG$70</f>
        <v>-1.72454277947209</v>
      </c>
      <c r="J67" s="9">
        <f>$AH$70</f>
        <v>0.52264503827326714</v>
      </c>
      <c r="K67" s="9">
        <f>$AI$70</f>
        <v>1.48726056944225</v>
      </c>
      <c r="L67" s="9">
        <f>$AJ$70</f>
        <v>2.4382950001620052</v>
      </c>
      <c r="M67" s="1"/>
      <c r="O67" s="27">
        <v>51</v>
      </c>
      <c r="P67" s="28" t="s">
        <v>88</v>
      </c>
      <c r="Q67" s="27">
        <v>8</v>
      </c>
      <c r="R67" s="27">
        <v>4</v>
      </c>
      <c r="S67" s="29">
        <v>-0.88478795458884185</v>
      </c>
      <c r="T67" s="29">
        <v>-0.40846546589119032</v>
      </c>
      <c r="U67" s="29">
        <v>-0.77962601334600612</v>
      </c>
      <c r="V67" s="29">
        <v>1.543856872720182</v>
      </c>
      <c r="W67" s="29">
        <v>1.9579126483796709</v>
      </c>
      <c r="X67" s="29">
        <v>0.93146937435378296</v>
      </c>
      <c r="Z67" s="27">
        <v>51</v>
      </c>
      <c r="AA67" s="27">
        <v>51</v>
      </c>
      <c r="AB67" s="28" t="str">
        <f>$P$67</f>
        <v>S051</v>
      </c>
      <c r="AC67" s="27">
        <f>$Q$67</f>
        <v>8</v>
      </c>
      <c r="AD67" s="27">
        <f>$R$67</f>
        <v>4</v>
      </c>
      <c r="AE67" s="29">
        <f>$S$67</f>
        <v>-0.88478795458884185</v>
      </c>
      <c r="AF67" s="29">
        <f>$T$67</f>
        <v>-0.40846546589119032</v>
      </c>
      <c r="AG67" s="29">
        <f>$U$67</f>
        <v>-0.77962601334600612</v>
      </c>
      <c r="AH67" s="29">
        <f>$V$67</f>
        <v>1.543856872720182</v>
      </c>
      <c r="AI67" s="29">
        <f>$W$67</f>
        <v>1.9579126483796709</v>
      </c>
      <c r="AJ67" s="29">
        <f>$X$67</f>
        <v>0.93146937435378296</v>
      </c>
      <c r="AK67" s="29">
        <f t="shared" si="1"/>
        <v>49.5</v>
      </c>
    </row>
    <row r="68" spans="1:37" ht="7.5" customHeight="1" x14ac:dyDescent="0.25">
      <c r="A68" s="1"/>
      <c r="B68" s="1"/>
      <c r="C68" s="7" t="str">
        <f>$AB$71</f>
        <v>S055</v>
      </c>
      <c r="D68" s="8">
        <f>$AC$71</f>
        <v>10</v>
      </c>
      <c r="E68" s="8">
        <f>$AD$71</f>
        <v>4</v>
      </c>
      <c r="F68" s="1"/>
      <c r="G68" s="9">
        <f>$AE$71</f>
        <v>0.64758572691030925</v>
      </c>
      <c r="H68" s="9">
        <f>$AF$71</f>
        <v>6.6314134292251803E-2</v>
      </c>
      <c r="I68" s="9">
        <f>$AG$71</f>
        <v>-0.50696597645068275</v>
      </c>
      <c r="J68" s="9">
        <f>$AH$71</f>
        <v>1.09043729863156</v>
      </c>
      <c r="K68" s="9">
        <f>$AI$71</f>
        <v>1.48726056944225</v>
      </c>
      <c r="L68" s="9">
        <f>$AJ$71</f>
        <v>2.4382950001620052</v>
      </c>
      <c r="M68" s="1"/>
      <c r="O68" s="27">
        <v>52</v>
      </c>
      <c r="P68" s="28" t="s">
        <v>89</v>
      </c>
      <c r="Q68" s="27">
        <v>7</v>
      </c>
      <c r="R68" s="27">
        <v>12</v>
      </c>
      <c r="S68" s="29">
        <v>-0.19571905985712729</v>
      </c>
      <c r="T68" s="29">
        <v>-0.23876131655430399</v>
      </c>
      <c r="U68" s="29">
        <v>-0.2594844058108205</v>
      </c>
      <c r="V68" s="29">
        <v>0.40720903783800799</v>
      </c>
      <c r="W68" s="29">
        <v>2.4285647273170921</v>
      </c>
      <c r="X68" s="29">
        <v>1.182606978655153</v>
      </c>
      <c r="Z68" s="27">
        <v>52</v>
      </c>
      <c r="AA68" s="27">
        <v>52</v>
      </c>
      <c r="AB68" s="28" t="str">
        <f>$P$68</f>
        <v>S052</v>
      </c>
      <c r="AC68" s="27">
        <f>$Q$68</f>
        <v>7</v>
      </c>
      <c r="AD68" s="27">
        <f>$R$68</f>
        <v>12</v>
      </c>
      <c r="AE68" s="29">
        <f>$S$68</f>
        <v>-0.19571905985712729</v>
      </c>
      <c r="AF68" s="29">
        <f>$T$68</f>
        <v>-0.23876131655430399</v>
      </c>
      <c r="AG68" s="29">
        <f>$U$68</f>
        <v>-0.2594844058108205</v>
      </c>
      <c r="AH68" s="29">
        <f>$V$68</f>
        <v>0.40720903783800799</v>
      </c>
      <c r="AI68" s="29">
        <f>$W$68</f>
        <v>2.4285647273170921</v>
      </c>
      <c r="AJ68" s="29">
        <f>$X$68</f>
        <v>1.182606978655153</v>
      </c>
      <c r="AK68" s="29">
        <f t="shared" si="1"/>
        <v>48.5</v>
      </c>
    </row>
    <row r="69" spans="1:37" ht="7.5" customHeight="1" x14ac:dyDescent="0.25">
      <c r="A69" s="1"/>
      <c r="B69" s="1"/>
      <c r="C69" s="7" t="str">
        <f>$AB$72</f>
        <v>S056</v>
      </c>
      <c r="D69" s="8">
        <f>$AC$72</f>
        <v>10</v>
      </c>
      <c r="E69" s="8">
        <f>$AD$72</f>
        <v>4</v>
      </c>
      <c r="F69" s="1"/>
      <c r="G69" s="9">
        <f>$AE$72</f>
        <v>0.64758572691030925</v>
      </c>
      <c r="H69" s="9">
        <f>$AF$72</f>
        <v>6.6314134292251803E-2</v>
      </c>
      <c r="I69" s="9">
        <f>$AG$72</f>
        <v>-0.50696597645068275</v>
      </c>
      <c r="J69" s="9">
        <f>$AH$72</f>
        <v>1.09043729863156</v>
      </c>
      <c r="K69" s="9">
        <f>$AI$72</f>
        <v>1.9579126483796709</v>
      </c>
      <c r="L69" s="9">
        <f>$AJ$72</f>
        <v>2.9405702087647461</v>
      </c>
      <c r="M69" s="1"/>
      <c r="O69" s="27">
        <v>53</v>
      </c>
      <c r="P69" s="28" t="s">
        <v>90</v>
      </c>
      <c r="Q69" s="27">
        <v>4</v>
      </c>
      <c r="R69" s="27">
        <v>4</v>
      </c>
      <c r="S69" s="29">
        <v>-0.74419202851656929</v>
      </c>
      <c r="T69" s="29">
        <v>-1.4328998276458209</v>
      </c>
      <c r="U69" s="29">
        <v>-1.773004776621806</v>
      </c>
      <c r="V69" s="29">
        <v>0.89399479625396294</v>
      </c>
      <c r="W69" s="29">
        <v>1.9579126483796709</v>
      </c>
      <c r="X69" s="29">
        <v>2.9405702087647461</v>
      </c>
      <c r="Z69" s="27">
        <v>53</v>
      </c>
      <c r="AA69" s="27">
        <v>53</v>
      </c>
      <c r="AB69" s="28" t="str">
        <f>$P$69</f>
        <v>S053</v>
      </c>
      <c r="AC69" s="27">
        <f>$Q$69</f>
        <v>4</v>
      </c>
      <c r="AD69" s="27">
        <f>$R$69</f>
        <v>4</v>
      </c>
      <c r="AE69" s="29">
        <f>$S$69</f>
        <v>-0.74419202851656929</v>
      </c>
      <c r="AF69" s="29">
        <f>$T$69</f>
        <v>-1.4328998276458209</v>
      </c>
      <c r="AG69" s="29">
        <f>$U$69</f>
        <v>-1.773004776621806</v>
      </c>
      <c r="AH69" s="29">
        <f>$V$69</f>
        <v>0.89399479625396294</v>
      </c>
      <c r="AI69" s="29">
        <f>$W$69</f>
        <v>1.9579126483796709</v>
      </c>
      <c r="AJ69" s="29">
        <f>$X$69</f>
        <v>2.9405702087647461</v>
      </c>
      <c r="AK69" s="29">
        <f t="shared" si="1"/>
        <v>47.5</v>
      </c>
    </row>
    <row r="70" spans="1:37" ht="7.5" customHeight="1" x14ac:dyDescent="0.25">
      <c r="A70" s="1"/>
      <c r="B70" s="1"/>
      <c r="C70" s="7" t="str">
        <f>$AB$73</f>
        <v>S057</v>
      </c>
      <c r="D70" s="8">
        <f>$AC$73</f>
        <v>10</v>
      </c>
      <c r="E70" s="8">
        <f>$AD$73</f>
        <v>12</v>
      </c>
      <c r="F70" s="1"/>
      <c r="G70" s="9">
        <f>$AE$73</f>
        <v>0.1143178274346681</v>
      </c>
      <c r="H70" s="9">
        <f>$AF$73</f>
        <v>-0.13630394913283231</v>
      </c>
      <c r="I70" s="9">
        <f>$AG$73</f>
        <v>-0.27945578437322321</v>
      </c>
      <c r="J70" s="9">
        <f>$AH$73</f>
        <v>1.346800782970023</v>
      </c>
      <c r="K70" s="9">
        <f>$AI$73</f>
        <v>1.9579126483796709</v>
      </c>
      <c r="L70" s="9">
        <f>$AJ$73</f>
        <v>2.9405702087647461</v>
      </c>
      <c r="M70" s="1"/>
      <c r="O70" s="27">
        <v>54</v>
      </c>
      <c r="P70" s="28" t="s">
        <v>91</v>
      </c>
      <c r="Q70" s="27">
        <v>4</v>
      </c>
      <c r="R70" s="27">
        <v>12</v>
      </c>
      <c r="S70" s="29">
        <v>-1.0956818436972511</v>
      </c>
      <c r="T70" s="29">
        <v>-1.2621607673533819</v>
      </c>
      <c r="U70" s="29">
        <v>-1.72454277947209</v>
      </c>
      <c r="V70" s="29">
        <v>0.52264503827326714</v>
      </c>
      <c r="W70" s="29">
        <v>1.48726056944225</v>
      </c>
      <c r="X70" s="29">
        <v>2.4382950001620052</v>
      </c>
      <c r="Z70" s="27">
        <v>54</v>
      </c>
      <c r="AA70" s="27">
        <v>54</v>
      </c>
      <c r="AB70" s="28" t="str">
        <f>$P$70</f>
        <v>S054</v>
      </c>
      <c r="AC70" s="27">
        <f>$Q$70</f>
        <v>4</v>
      </c>
      <c r="AD70" s="27">
        <f>$R$70</f>
        <v>12</v>
      </c>
      <c r="AE70" s="29">
        <f>$S$70</f>
        <v>-1.0956818436972511</v>
      </c>
      <c r="AF70" s="29">
        <f>$T$70</f>
        <v>-1.2621607673533819</v>
      </c>
      <c r="AG70" s="29">
        <f>$U$70</f>
        <v>-1.72454277947209</v>
      </c>
      <c r="AH70" s="29">
        <f>$V$70</f>
        <v>0.52264503827326714</v>
      </c>
      <c r="AI70" s="29">
        <f>$W$70</f>
        <v>1.48726056944225</v>
      </c>
      <c r="AJ70" s="29">
        <f>$X$70</f>
        <v>2.4382950001620052</v>
      </c>
      <c r="AK70" s="29">
        <f t="shared" si="1"/>
        <v>46.5</v>
      </c>
    </row>
    <row r="71" spans="1:37" ht="7.5" customHeight="1" x14ac:dyDescent="0.25">
      <c r="A71" s="1"/>
      <c r="B71" s="1"/>
      <c r="C71" s="7" t="str">
        <f>$AB$74</f>
        <v>S058</v>
      </c>
      <c r="D71" s="8">
        <f>$AC$74</f>
        <v>3</v>
      </c>
      <c r="E71" s="8">
        <f>$AD$74</f>
        <v>4</v>
      </c>
      <c r="F71" s="1"/>
      <c r="G71" s="9">
        <f>$AE$74</f>
        <v>-0.38449153210995118</v>
      </c>
      <c r="H71" s="9">
        <f>$AF$74</f>
        <v>2.7167237171123602E-2</v>
      </c>
      <c r="I71" s="9">
        <f>$AG$74</f>
        <v>8.6720979823163499E-2</v>
      </c>
      <c r="J71" s="9">
        <f>$AH$74</f>
        <v>-0.51841384896111198</v>
      </c>
      <c r="K71" s="9">
        <f>$AI$74</f>
        <v>2.4285647273170921</v>
      </c>
      <c r="L71" s="9">
        <f>$AJ$74</f>
        <v>3.4428454173674869</v>
      </c>
      <c r="M71" s="1"/>
      <c r="O71" s="27">
        <v>55</v>
      </c>
      <c r="P71" s="28" t="s">
        <v>92</v>
      </c>
      <c r="Q71" s="27">
        <v>10</v>
      </c>
      <c r="R71" s="27">
        <v>4</v>
      </c>
      <c r="S71" s="29">
        <v>0.64758572691030925</v>
      </c>
      <c r="T71" s="29">
        <v>6.6314134292251803E-2</v>
      </c>
      <c r="U71" s="29">
        <v>-0.50696597645068275</v>
      </c>
      <c r="V71" s="29">
        <v>1.09043729863156</v>
      </c>
      <c r="W71" s="29">
        <v>1.48726056944225</v>
      </c>
      <c r="X71" s="29">
        <v>2.4382950001620052</v>
      </c>
      <c r="Z71" s="27">
        <v>55</v>
      </c>
      <c r="AA71" s="27">
        <v>55</v>
      </c>
      <c r="AB71" s="28" t="str">
        <f>$P$71</f>
        <v>S055</v>
      </c>
      <c r="AC71" s="27">
        <f>$Q$71</f>
        <v>10</v>
      </c>
      <c r="AD71" s="27">
        <f>$R$71</f>
        <v>4</v>
      </c>
      <c r="AE71" s="29">
        <f>$S$71</f>
        <v>0.64758572691030925</v>
      </c>
      <c r="AF71" s="29">
        <f>$T$71</f>
        <v>6.6314134292251803E-2</v>
      </c>
      <c r="AG71" s="29">
        <f>$U$71</f>
        <v>-0.50696597645068275</v>
      </c>
      <c r="AH71" s="29">
        <f>$V$71</f>
        <v>1.09043729863156</v>
      </c>
      <c r="AI71" s="29">
        <f>$W$71</f>
        <v>1.48726056944225</v>
      </c>
      <c r="AJ71" s="29">
        <f>$X$71</f>
        <v>2.4382950001620052</v>
      </c>
      <c r="AK71" s="29">
        <f t="shared" si="1"/>
        <v>45.5</v>
      </c>
    </row>
    <row r="72" spans="1:37" ht="7.5" customHeight="1" x14ac:dyDescent="0.25">
      <c r="A72" s="1"/>
      <c r="B72" s="1"/>
      <c r="C72" s="7" t="str">
        <f>$AB$75</f>
        <v>S059</v>
      </c>
      <c r="D72" s="8">
        <f>$AC$75</f>
        <v>3</v>
      </c>
      <c r="E72" s="8">
        <f>$AD$75</f>
        <v>12</v>
      </c>
      <c r="F72" s="1"/>
      <c r="G72" s="9">
        <f>$AE$75</f>
        <v>-0.35741359231778891</v>
      </c>
      <c r="H72" s="9">
        <f>$AF$75</f>
        <v>0.19921753020329769</v>
      </c>
      <c r="I72" s="9">
        <f>$AG$75</f>
        <v>-0.13742978920424609</v>
      </c>
      <c r="J72" s="9">
        <f>$AH$75</f>
        <v>-0.41264155992579821</v>
      </c>
      <c r="K72" s="9">
        <f>$AI$75</f>
        <v>1.0166084905048289</v>
      </c>
      <c r="L72" s="9">
        <f>$AJ$75</f>
        <v>1.9360197915592641</v>
      </c>
      <c r="M72" s="1"/>
      <c r="O72" s="27">
        <v>56</v>
      </c>
      <c r="P72" s="28" t="s">
        <v>93</v>
      </c>
      <c r="Q72" s="27">
        <v>10</v>
      </c>
      <c r="R72" s="27">
        <v>4</v>
      </c>
      <c r="S72" s="29">
        <v>0.64758572691030925</v>
      </c>
      <c r="T72" s="29">
        <v>6.6314134292251803E-2</v>
      </c>
      <c r="U72" s="29">
        <v>-0.50696597645068275</v>
      </c>
      <c r="V72" s="29">
        <v>1.09043729863156</v>
      </c>
      <c r="W72" s="29">
        <v>1.9579126483796709</v>
      </c>
      <c r="X72" s="29">
        <v>2.9405702087647461</v>
      </c>
      <c r="Z72" s="27">
        <v>56</v>
      </c>
      <c r="AA72" s="27">
        <v>56</v>
      </c>
      <c r="AB72" s="28" t="str">
        <f>$P$72</f>
        <v>S056</v>
      </c>
      <c r="AC72" s="27">
        <f>$Q$72</f>
        <v>10</v>
      </c>
      <c r="AD72" s="27">
        <f>$R$72</f>
        <v>4</v>
      </c>
      <c r="AE72" s="29">
        <f>$S$72</f>
        <v>0.64758572691030925</v>
      </c>
      <c r="AF72" s="29">
        <f>$T$72</f>
        <v>6.6314134292251803E-2</v>
      </c>
      <c r="AG72" s="29">
        <f>$U$72</f>
        <v>-0.50696597645068275</v>
      </c>
      <c r="AH72" s="29">
        <f>$V$72</f>
        <v>1.09043729863156</v>
      </c>
      <c r="AI72" s="29">
        <f>$W$72</f>
        <v>1.9579126483796709</v>
      </c>
      <c r="AJ72" s="29">
        <f>$X$72</f>
        <v>2.9405702087647461</v>
      </c>
      <c r="AK72" s="29">
        <f t="shared" si="1"/>
        <v>44.5</v>
      </c>
    </row>
    <row r="73" spans="1:37" ht="7.5" customHeight="1" x14ac:dyDescent="0.25">
      <c r="A73" s="1"/>
      <c r="B73" s="1"/>
      <c r="C73" s="7" t="str">
        <f>$AB$76</f>
        <v>S060</v>
      </c>
      <c r="D73" s="8">
        <f>$AC$76</f>
        <v>7</v>
      </c>
      <c r="E73" s="8">
        <f>$AD$76</f>
        <v>4</v>
      </c>
      <c r="F73" s="1"/>
      <c r="G73" s="9">
        <f>$AE$76</f>
        <v>3.8603571849668001E-3</v>
      </c>
      <c r="H73" s="9">
        <f>$AF$76</f>
        <v>-0.33684785708404857</v>
      </c>
      <c r="I73" s="9">
        <f>$AG$76</f>
        <v>-0.1614496741064316</v>
      </c>
      <c r="J73" s="9">
        <f>$AH$76</f>
        <v>0.41921367114484281</v>
      </c>
      <c r="K73" s="9">
        <f>$AI$76</f>
        <v>1.0166084905048289</v>
      </c>
      <c r="L73" s="9">
        <f>$AJ$76</f>
        <v>1.9360197915592641</v>
      </c>
      <c r="M73" s="1"/>
      <c r="O73" s="27">
        <v>57</v>
      </c>
      <c r="P73" s="28" t="s">
        <v>94</v>
      </c>
      <c r="Q73" s="27">
        <v>10</v>
      </c>
      <c r="R73" s="27">
        <v>12</v>
      </c>
      <c r="S73" s="29">
        <v>0.1143178274346681</v>
      </c>
      <c r="T73" s="29">
        <v>-0.13630394913283231</v>
      </c>
      <c r="U73" s="29">
        <v>-0.27945578437322321</v>
      </c>
      <c r="V73" s="29">
        <v>1.346800782970023</v>
      </c>
      <c r="W73" s="29">
        <v>1.9579126483796709</v>
      </c>
      <c r="X73" s="29">
        <v>2.9405702087647461</v>
      </c>
      <c r="Z73" s="27">
        <v>57</v>
      </c>
      <c r="AA73" s="27">
        <v>57</v>
      </c>
      <c r="AB73" s="28" t="str">
        <f>$P$73</f>
        <v>S057</v>
      </c>
      <c r="AC73" s="27">
        <f>$Q$73</f>
        <v>10</v>
      </c>
      <c r="AD73" s="27">
        <f>$R$73</f>
        <v>12</v>
      </c>
      <c r="AE73" s="29">
        <f>$S$73</f>
        <v>0.1143178274346681</v>
      </c>
      <c r="AF73" s="29">
        <f>$T$73</f>
        <v>-0.13630394913283231</v>
      </c>
      <c r="AG73" s="29">
        <f>$U$73</f>
        <v>-0.27945578437322321</v>
      </c>
      <c r="AH73" s="29">
        <f>$V$73</f>
        <v>1.346800782970023</v>
      </c>
      <c r="AI73" s="29">
        <f>$W$73</f>
        <v>1.9579126483796709</v>
      </c>
      <c r="AJ73" s="29">
        <f>$X$73</f>
        <v>2.9405702087647461</v>
      </c>
      <c r="AK73" s="29">
        <f t="shared" si="1"/>
        <v>43.5</v>
      </c>
    </row>
    <row r="74" spans="1:37" ht="7.5" customHeight="1" x14ac:dyDescent="0.25">
      <c r="A74" s="1"/>
      <c r="B74" s="1"/>
      <c r="C74" s="7" t="str">
        <f>$AB$77</f>
        <v>S061</v>
      </c>
      <c r="D74" s="8">
        <f>$AC$77</f>
        <v>7</v>
      </c>
      <c r="E74" s="8">
        <f>$AD$77</f>
        <v>12</v>
      </c>
      <c r="F74" s="1"/>
      <c r="G74" s="9">
        <f>$AE$77</f>
        <v>-0.19571905985712729</v>
      </c>
      <c r="H74" s="9">
        <f>$AF$77</f>
        <v>-0.23876131655430399</v>
      </c>
      <c r="I74" s="9">
        <f>$AG$77</f>
        <v>-0.2594844058108205</v>
      </c>
      <c r="J74" s="9">
        <f>$AH$77</f>
        <v>0.40720903783800799</v>
      </c>
      <c r="K74" s="9">
        <f>$AI$77</f>
        <v>1.48726056944225</v>
      </c>
      <c r="L74" s="9">
        <f>$AJ$77</f>
        <v>2.4382950001620052</v>
      </c>
      <c r="M74" s="1"/>
      <c r="O74" s="27">
        <v>58</v>
      </c>
      <c r="P74" s="28" t="s">
        <v>95</v>
      </c>
      <c r="Q74" s="27">
        <v>3</v>
      </c>
      <c r="R74" s="27">
        <v>4</v>
      </c>
      <c r="S74" s="29">
        <v>-0.38449153210995118</v>
      </c>
      <c r="T74" s="29">
        <v>2.7167237171123602E-2</v>
      </c>
      <c r="U74" s="29">
        <v>8.6720979823163499E-2</v>
      </c>
      <c r="V74" s="29">
        <v>-0.51841384896111198</v>
      </c>
      <c r="W74" s="29">
        <v>2.4285647273170921</v>
      </c>
      <c r="X74" s="29">
        <v>3.4428454173674869</v>
      </c>
      <c r="Z74" s="27">
        <v>58</v>
      </c>
      <c r="AA74" s="27">
        <v>58</v>
      </c>
      <c r="AB74" s="28" t="str">
        <f>$P$74</f>
        <v>S058</v>
      </c>
      <c r="AC74" s="27">
        <f>$Q$74</f>
        <v>3</v>
      </c>
      <c r="AD74" s="27">
        <f>$R$74</f>
        <v>4</v>
      </c>
      <c r="AE74" s="29">
        <f>$S$74</f>
        <v>-0.38449153210995118</v>
      </c>
      <c r="AF74" s="29">
        <f>$T$74</f>
        <v>2.7167237171123602E-2</v>
      </c>
      <c r="AG74" s="29">
        <f>$U$74</f>
        <v>8.6720979823163499E-2</v>
      </c>
      <c r="AH74" s="29">
        <f>$V$74</f>
        <v>-0.51841384896111198</v>
      </c>
      <c r="AI74" s="29">
        <f>$W$74</f>
        <v>2.4285647273170921</v>
      </c>
      <c r="AJ74" s="29">
        <f>$X$74</f>
        <v>3.4428454173674869</v>
      </c>
      <c r="AK74" s="29">
        <f t="shared" si="1"/>
        <v>42.5</v>
      </c>
    </row>
    <row r="75" spans="1:37" ht="7.5" customHeight="1" x14ac:dyDescent="0.25">
      <c r="A75" s="1"/>
      <c r="B75" s="1"/>
      <c r="C75" s="7" t="str">
        <f>$AB$78</f>
        <v>S062</v>
      </c>
      <c r="D75" s="8">
        <f>$AC$78</f>
        <v>8</v>
      </c>
      <c r="E75" s="8">
        <f>$AD$78</f>
        <v>4</v>
      </c>
      <c r="F75" s="1"/>
      <c r="G75" s="9">
        <f>$AE$78</f>
        <v>-0.88478795458884185</v>
      </c>
      <c r="H75" s="9">
        <f>$AF$78</f>
        <v>-0.40846546589119032</v>
      </c>
      <c r="I75" s="9">
        <f>$AG$78</f>
        <v>-0.77962601334600612</v>
      </c>
      <c r="J75" s="9">
        <f>$AH$78</f>
        <v>1.543856872720182</v>
      </c>
      <c r="K75" s="9">
        <f>$AI$78</f>
        <v>7.5304332629987397E-2</v>
      </c>
      <c r="L75" s="9">
        <f>$AJ$78</f>
        <v>-7.3081042851698697E-2</v>
      </c>
      <c r="M75" s="1"/>
      <c r="O75" s="27">
        <v>59</v>
      </c>
      <c r="P75" s="28" t="s">
        <v>96</v>
      </c>
      <c r="Q75" s="27">
        <v>3</v>
      </c>
      <c r="R75" s="27">
        <v>12</v>
      </c>
      <c r="S75" s="29">
        <v>-0.35741359231778891</v>
      </c>
      <c r="T75" s="29">
        <v>0.19921753020329769</v>
      </c>
      <c r="U75" s="29">
        <v>-0.13742978920424609</v>
      </c>
      <c r="V75" s="29">
        <v>-0.41264155992579821</v>
      </c>
      <c r="W75" s="29">
        <v>1.0166084905048289</v>
      </c>
      <c r="X75" s="29">
        <v>1.9360197915592641</v>
      </c>
      <c r="Z75" s="27">
        <v>59</v>
      </c>
      <c r="AA75" s="27">
        <v>59</v>
      </c>
      <c r="AB75" s="28" t="str">
        <f>$P$75</f>
        <v>S059</v>
      </c>
      <c r="AC75" s="27">
        <f>$Q$75</f>
        <v>3</v>
      </c>
      <c r="AD75" s="27">
        <f>$R$75</f>
        <v>12</v>
      </c>
      <c r="AE75" s="29">
        <f>$S$75</f>
        <v>-0.35741359231778891</v>
      </c>
      <c r="AF75" s="29">
        <f>$T$75</f>
        <v>0.19921753020329769</v>
      </c>
      <c r="AG75" s="29">
        <f>$U$75</f>
        <v>-0.13742978920424609</v>
      </c>
      <c r="AH75" s="29">
        <f>$V$75</f>
        <v>-0.41264155992579821</v>
      </c>
      <c r="AI75" s="29">
        <f>$W$75</f>
        <v>1.0166084905048289</v>
      </c>
      <c r="AJ75" s="29">
        <f>$X$75</f>
        <v>1.9360197915592641</v>
      </c>
      <c r="AK75" s="29">
        <f t="shared" si="1"/>
        <v>41.5</v>
      </c>
    </row>
    <row r="76" spans="1:37" ht="7.5" customHeight="1" x14ac:dyDescent="0.25">
      <c r="A76" s="1"/>
      <c r="B76" s="1"/>
      <c r="C76" s="7" t="str">
        <f>$AB$79</f>
        <v>S063</v>
      </c>
      <c r="D76" s="8">
        <f>$AC$79</f>
        <v>8</v>
      </c>
      <c r="E76" s="8">
        <f>$AD$79</f>
        <v>4</v>
      </c>
      <c r="F76" s="1"/>
      <c r="G76" s="9">
        <f>$AE$79</f>
        <v>-0.88478795458884185</v>
      </c>
      <c r="H76" s="9">
        <f>$AF$79</f>
        <v>-0.40846546589119032</v>
      </c>
      <c r="I76" s="9">
        <f>$AG$79</f>
        <v>-0.77962601334600612</v>
      </c>
      <c r="J76" s="9">
        <f>$AH$79</f>
        <v>1.543856872720182</v>
      </c>
      <c r="K76" s="9">
        <f>$AI$79</f>
        <v>-0.39534774630743341</v>
      </c>
      <c r="L76" s="9">
        <f>$AJ$79</f>
        <v>-0.32421864715306919</v>
      </c>
      <c r="M76" s="1"/>
      <c r="O76" s="27">
        <v>60</v>
      </c>
      <c r="P76" s="28" t="s">
        <v>97</v>
      </c>
      <c r="Q76" s="27">
        <v>7</v>
      </c>
      <c r="R76" s="27">
        <v>4</v>
      </c>
      <c r="S76" s="29">
        <v>3.8603571849668001E-3</v>
      </c>
      <c r="T76" s="29">
        <v>-0.33684785708404857</v>
      </c>
      <c r="U76" s="29">
        <v>-0.1614496741064316</v>
      </c>
      <c r="V76" s="29">
        <v>0.41921367114484281</v>
      </c>
      <c r="W76" s="29">
        <v>1.0166084905048289</v>
      </c>
      <c r="X76" s="29">
        <v>1.9360197915592641</v>
      </c>
      <c r="Z76" s="27">
        <v>60</v>
      </c>
      <c r="AA76" s="27">
        <v>60</v>
      </c>
      <c r="AB76" s="28" t="str">
        <f>$P$76</f>
        <v>S060</v>
      </c>
      <c r="AC76" s="27">
        <f>$Q$76</f>
        <v>7</v>
      </c>
      <c r="AD76" s="27">
        <f>$R$76</f>
        <v>4</v>
      </c>
      <c r="AE76" s="29">
        <f>$S$76</f>
        <v>3.8603571849668001E-3</v>
      </c>
      <c r="AF76" s="29">
        <f>$T$76</f>
        <v>-0.33684785708404857</v>
      </c>
      <c r="AG76" s="29">
        <f>$U$76</f>
        <v>-0.1614496741064316</v>
      </c>
      <c r="AH76" s="29">
        <f>$V$76</f>
        <v>0.41921367114484281</v>
      </c>
      <c r="AI76" s="29">
        <f>$W$76</f>
        <v>1.0166084905048289</v>
      </c>
      <c r="AJ76" s="29">
        <f>$X$76</f>
        <v>1.9360197915592641</v>
      </c>
      <c r="AK76" s="29">
        <f t="shared" si="1"/>
        <v>40.5</v>
      </c>
    </row>
    <row r="77" spans="1:37" ht="7.5" customHeight="1" x14ac:dyDescent="0.25">
      <c r="A77" s="1"/>
      <c r="B77" s="1"/>
      <c r="C77" s="7" t="str">
        <f>$AB$80</f>
        <v>S064</v>
      </c>
      <c r="D77" s="8">
        <f>$AC$80</f>
        <v>8</v>
      </c>
      <c r="E77" s="8">
        <f>$AD$80</f>
        <v>4</v>
      </c>
      <c r="F77" s="1"/>
      <c r="G77" s="9">
        <f>$AE$80</f>
        <v>-0.88478795458884185</v>
      </c>
      <c r="H77" s="9">
        <f>$AF$80</f>
        <v>-0.40846546589119032</v>
      </c>
      <c r="I77" s="9">
        <f>$AG$80</f>
        <v>-0.77962601334600612</v>
      </c>
      <c r="J77" s="9">
        <f>$AH$80</f>
        <v>1.543856872720182</v>
      </c>
      <c r="K77" s="9">
        <f>$AI$80</f>
        <v>-0.39534774630743341</v>
      </c>
      <c r="L77" s="9">
        <f>$AJ$80</f>
        <v>-0.32421864715306919</v>
      </c>
      <c r="M77" s="1"/>
      <c r="O77" s="27">
        <v>61</v>
      </c>
      <c r="P77" s="28" t="s">
        <v>98</v>
      </c>
      <c r="Q77" s="27">
        <v>7</v>
      </c>
      <c r="R77" s="27">
        <v>12</v>
      </c>
      <c r="S77" s="29">
        <v>-0.19571905985712729</v>
      </c>
      <c r="T77" s="29">
        <v>-0.23876131655430399</v>
      </c>
      <c r="U77" s="29">
        <v>-0.2594844058108205</v>
      </c>
      <c r="V77" s="29">
        <v>0.40720903783800799</v>
      </c>
      <c r="W77" s="29">
        <v>1.48726056944225</v>
      </c>
      <c r="X77" s="29">
        <v>2.4382950001620052</v>
      </c>
      <c r="Z77" s="27">
        <v>61</v>
      </c>
      <c r="AA77" s="27">
        <v>61</v>
      </c>
      <c r="AB77" s="28" t="str">
        <f>$P$77</f>
        <v>S061</v>
      </c>
      <c r="AC77" s="27">
        <f>$Q$77</f>
        <v>7</v>
      </c>
      <c r="AD77" s="27">
        <f>$R$77</f>
        <v>12</v>
      </c>
      <c r="AE77" s="29">
        <f>$S$77</f>
        <v>-0.19571905985712729</v>
      </c>
      <c r="AF77" s="29">
        <f>$T$77</f>
        <v>-0.23876131655430399</v>
      </c>
      <c r="AG77" s="29">
        <f>$U$77</f>
        <v>-0.2594844058108205</v>
      </c>
      <c r="AH77" s="29">
        <f>$V$77</f>
        <v>0.40720903783800799</v>
      </c>
      <c r="AI77" s="29">
        <f>$W$77</f>
        <v>1.48726056944225</v>
      </c>
      <c r="AJ77" s="29">
        <f>$X$77</f>
        <v>2.4382950001620052</v>
      </c>
      <c r="AK77" s="29">
        <f t="shared" si="1"/>
        <v>39.5</v>
      </c>
    </row>
    <row r="78" spans="1:37" ht="7.5" customHeight="1" x14ac:dyDescent="0.25">
      <c r="A78" s="1"/>
      <c r="B78" s="1"/>
      <c r="C78" s="7" t="str">
        <f>$AB$81</f>
        <v>S065</v>
      </c>
      <c r="D78" s="8">
        <f>$AC$81</f>
        <v>8</v>
      </c>
      <c r="E78" s="8">
        <f>$AD$81</f>
        <v>12</v>
      </c>
      <c r="F78" s="1"/>
      <c r="G78" s="9">
        <f>$AE$81</f>
        <v>-0.88478795458884185</v>
      </c>
      <c r="H78" s="9">
        <f>$AF$81</f>
        <v>-0.15235687545253279</v>
      </c>
      <c r="I78" s="9">
        <f>$AG$81</f>
        <v>0.2794213198735363</v>
      </c>
      <c r="J78" s="9">
        <f>$AH$81</f>
        <v>1.6366943122153561</v>
      </c>
      <c r="K78" s="9">
        <f>$AI$81</f>
        <v>7.5304332629987397E-2</v>
      </c>
      <c r="L78" s="9">
        <f>$AJ$81</f>
        <v>-0.57535625145443958</v>
      </c>
      <c r="M78" s="1"/>
      <c r="O78" s="27">
        <v>62</v>
      </c>
      <c r="P78" s="28" t="s">
        <v>99</v>
      </c>
      <c r="Q78" s="27">
        <v>8</v>
      </c>
      <c r="R78" s="27">
        <v>4</v>
      </c>
      <c r="S78" s="29">
        <v>-0.88478795458884185</v>
      </c>
      <c r="T78" s="29">
        <v>-0.40846546589119032</v>
      </c>
      <c r="U78" s="29">
        <v>-0.77962601334600612</v>
      </c>
      <c r="V78" s="29">
        <v>1.543856872720182</v>
      </c>
      <c r="W78" s="29">
        <v>7.5304332629987397E-2</v>
      </c>
      <c r="X78" s="29">
        <v>-7.3081042851698697E-2</v>
      </c>
      <c r="Z78" s="27">
        <v>62</v>
      </c>
      <c r="AA78" s="27">
        <v>62</v>
      </c>
      <c r="AB78" s="28" t="str">
        <f>$P$78</f>
        <v>S062</v>
      </c>
      <c r="AC78" s="27">
        <f>$Q$78</f>
        <v>8</v>
      </c>
      <c r="AD78" s="27">
        <f>$R$78</f>
        <v>4</v>
      </c>
      <c r="AE78" s="29">
        <f>$S$78</f>
        <v>-0.88478795458884185</v>
      </c>
      <c r="AF78" s="29">
        <f>$T$78</f>
        <v>-0.40846546589119032</v>
      </c>
      <c r="AG78" s="29">
        <f>$U$78</f>
        <v>-0.77962601334600612</v>
      </c>
      <c r="AH78" s="29">
        <f>$V$78</f>
        <v>1.543856872720182</v>
      </c>
      <c r="AI78" s="29">
        <f>$W$78</f>
        <v>7.5304332629987397E-2</v>
      </c>
      <c r="AJ78" s="29">
        <f>$X$78</f>
        <v>-7.3081042851698697E-2</v>
      </c>
      <c r="AK78" s="29">
        <f t="shared" si="1"/>
        <v>38.5</v>
      </c>
    </row>
    <row r="79" spans="1:37" ht="7.5" customHeight="1" x14ac:dyDescent="0.25">
      <c r="A79" s="1"/>
      <c r="B79" s="1"/>
      <c r="C79" s="7" t="str">
        <f>$AB$82</f>
        <v>S066</v>
      </c>
      <c r="D79" s="8">
        <f>$AC$82</f>
        <v>8</v>
      </c>
      <c r="E79" s="8">
        <f>$AD$82</f>
        <v>12</v>
      </c>
      <c r="F79" s="1"/>
      <c r="G79" s="9">
        <f>$AE$82</f>
        <v>-0.88478795458884185</v>
      </c>
      <c r="H79" s="9">
        <f>$AF$82</f>
        <v>-0.15235687545253279</v>
      </c>
      <c r="I79" s="9">
        <f>$AG$82</f>
        <v>0.2794213198735363</v>
      </c>
      <c r="J79" s="9">
        <f>$AH$82</f>
        <v>1.6366943122153561</v>
      </c>
      <c r="K79" s="9">
        <f>$AI$82</f>
        <v>-0.39534774630743341</v>
      </c>
      <c r="L79" s="9">
        <f>$AJ$82</f>
        <v>-0.32421864715306919</v>
      </c>
      <c r="M79" s="1"/>
      <c r="O79" s="27">
        <v>63</v>
      </c>
      <c r="P79" s="28" t="s">
        <v>100</v>
      </c>
      <c r="Q79" s="27">
        <v>8</v>
      </c>
      <c r="R79" s="27">
        <v>4</v>
      </c>
      <c r="S79" s="29">
        <v>-0.88478795458884185</v>
      </c>
      <c r="T79" s="29">
        <v>-0.40846546589119032</v>
      </c>
      <c r="U79" s="29">
        <v>-0.77962601334600612</v>
      </c>
      <c r="V79" s="29">
        <v>1.543856872720182</v>
      </c>
      <c r="W79" s="29">
        <v>-0.39534774630743341</v>
      </c>
      <c r="X79" s="29">
        <v>-0.32421864715306919</v>
      </c>
      <c r="Z79" s="27">
        <v>63</v>
      </c>
      <c r="AA79" s="27">
        <v>63</v>
      </c>
      <c r="AB79" s="28" t="str">
        <f>$P$79</f>
        <v>S063</v>
      </c>
      <c r="AC79" s="27">
        <f>$Q$79</f>
        <v>8</v>
      </c>
      <c r="AD79" s="27">
        <f>$R$79</f>
        <v>4</v>
      </c>
      <c r="AE79" s="29">
        <f>$S$79</f>
        <v>-0.88478795458884185</v>
      </c>
      <c r="AF79" s="29">
        <f>$T$79</f>
        <v>-0.40846546589119032</v>
      </c>
      <c r="AG79" s="29">
        <f>$U$79</f>
        <v>-0.77962601334600612</v>
      </c>
      <c r="AH79" s="29">
        <f>$V$79</f>
        <v>1.543856872720182</v>
      </c>
      <c r="AI79" s="29">
        <f>$W$79</f>
        <v>-0.39534774630743341</v>
      </c>
      <c r="AJ79" s="29">
        <f>$X$79</f>
        <v>-0.32421864715306919</v>
      </c>
      <c r="AK79" s="29">
        <f t="shared" si="1"/>
        <v>37.5</v>
      </c>
    </row>
    <row r="80" spans="1:37" ht="7.5" customHeight="1" x14ac:dyDescent="0.25">
      <c r="A80" s="1"/>
      <c r="B80" s="1"/>
      <c r="C80" s="7" t="str">
        <f>$AB$83</f>
        <v>S067</v>
      </c>
      <c r="D80" s="8">
        <f>$AC$83</f>
        <v>8</v>
      </c>
      <c r="E80" s="8">
        <f>$AD$83</f>
        <v>4</v>
      </c>
      <c r="F80" s="1"/>
      <c r="G80" s="9">
        <f>$AE$83</f>
        <v>-0.88478795458884185</v>
      </c>
      <c r="H80" s="9">
        <f>$AF$83</f>
        <v>-0.40846546589119032</v>
      </c>
      <c r="I80" s="9">
        <f>$AG$83</f>
        <v>-0.77962601334600612</v>
      </c>
      <c r="J80" s="9">
        <f>$AH$83</f>
        <v>1.543856872720182</v>
      </c>
      <c r="K80" s="9">
        <f>$AI$83</f>
        <v>-1.3366519041822751</v>
      </c>
      <c r="L80" s="9">
        <f>$AJ$83</f>
        <v>-0.57535625145443958</v>
      </c>
      <c r="M80" s="1"/>
      <c r="O80" s="27">
        <v>64</v>
      </c>
      <c r="P80" s="28" t="s">
        <v>101</v>
      </c>
      <c r="Q80" s="27">
        <v>8</v>
      </c>
      <c r="R80" s="27">
        <v>4</v>
      </c>
      <c r="S80" s="29">
        <v>-0.88478795458884185</v>
      </c>
      <c r="T80" s="29">
        <v>-0.40846546589119032</v>
      </c>
      <c r="U80" s="29">
        <v>-0.77962601334600612</v>
      </c>
      <c r="V80" s="29">
        <v>1.543856872720182</v>
      </c>
      <c r="W80" s="29">
        <v>-0.39534774630743341</v>
      </c>
      <c r="X80" s="29">
        <v>-0.32421864715306919</v>
      </c>
      <c r="Z80" s="27">
        <v>64</v>
      </c>
      <c r="AA80" s="27">
        <v>64</v>
      </c>
      <c r="AB80" s="28" t="str">
        <f>$P$80</f>
        <v>S064</v>
      </c>
      <c r="AC80" s="27">
        <f>$Q$80</f>
        <v>8</v>
      </c>
      <c r="AD80" s="27">
        <f>$R$80</f>
        <v>4</v>
      </c>
      <c r="AE80" s="29">
        <f>$S$80</f>
        <v>-0.88478795458884185</v>
      </c>
      <c r="AF80" s="29">
        <f>$T$80</f>
        <v>-0.40846546589119032</v>
      </c>
      <c r="AG80" s="29">
        <f>$U$80</f>
        <v>-0.77962601334600612</v>
      </c>
      <c r="AH80" s="29">
        <f>$V$80</f>
        <v>1.543856872720182</v>
      </c>
      <c r="AI80" s="29">
        <f>$W$80</f>
        <v>-0.39534774630743341</v>
      </c>
      <c r="AJ80" s="29">
        <f>$X$80</f>
        <v>-0.32421864715306919</v>
      </c>
      <c r="AK80" s="29">
        <f t="shared" si="1"/>
        <v>36.5</v>
      </c>
    </row>
    <row r="81" spans="1:37" ht="7.5" customHeight="1" x14ac:dyDescent="0.25">
      <c r="A81" s="1"/>
      <c r="B81" s="1"/>
      <c r="C81" s="7" t="str">
        <f>$AB$84</f>
        <v>S068</v>
      </c>
      <c r="D81" s="8">
        <f>$AC$84</f>
        <v>8</v>
      </c>
      <c r="E81" s="8">
        <f>$AD$84</f>
        <v>12</v>
      </c>
      <c r="F81" s="1"/>
      <c r="G81" s="9">
        <f>$AE$84</f>
        <v>-0.88478795458884185</v>
      </c>
      <c r="H81" s="9">
        <f>$AF$84</f>
        <v>-0.15235687545253279</v>
      </c>
      <c r="I81" s="9">
        <f>$AG$84</f>
        <v>0.2794213198735363</v>
      </c>
      <c r="J81" s="9">
        <f>$AH$84</f>
        <v>1.6366943122153561</v>
      </c>
      <c r="K81" s="9">
        <f>$AI$84</f>
        <v>-0.8659998252448543</v>
      </c>
      <c r="L81" s="9">
        <f>$AJ$84</f>
        <v>-0.57535625145443958</v>
      </c>
      <c r="M81" s="1"/>
      <c r="O81" s="27">
        <v>65</v>
      </c>
      <c r="P81" s="28" t="s">
        <v>102</v>
      </c>
      <c r="Q81" s="27">
        <v>8</v>
      </c>
      <c r="R81" s="27">
        <v>12</v>
      </c>
      <c r="S81" s="29">
        <v>-0.88478795458884185</v>
      </c>
      <c r="T81" s="29">
        <v>-0.15235687545253279</v>
      </c>
      <c r="U81" s="29">
        <v>0.2794213198735363</v>
      </c>
      <c r="V81" s="29">
        <v>1.6366943122153561</v>
      </c>
      <c r="W81" s="29">
        <v>7.5304332629987397E-2</v>
      </c>
      <c r="X81" s="29">
        <v>-0.57535625145443958</v>
      </c>
      <c r="Z81" s="27">
        <v>65</v>
      </c>
      <c r="AA81" s="27">
        <v>65</v>
      </c>
      <c r="AB81" s="28" t="str">
        <f>$P$81</f>
        <v>S065</v>
      </c>
      <c r="AC81" s="27">
        <f>$Q$81</f>
        <v>8</v>
      </c>
      <c r="AD81" s="27">
        <f>$R$81</f>
        <v>12</v>
      </c>
      <c r="AE81" s="29">
        <f>$S$81</f>
        <v>-0.88478795458884185</v>
      </c>
      <c r="AF81" s="29">
        <f>$T$81</f>
        <v>-0.15235687545253279</v>
      </c>
      <c r="AG81" s="29">
        <f>$U$81</f>
        <v>0.2794213198735363</v>
      </c>
      <c r="AH81" s="29">
        <f>$V$81</f>
        <v>1.6366943122153561</v>
      </c>
      <c r="AI81" s="29">
        <f>$W$81</f>
        <v>7.5304332629987397E-2</v>
      </c>
      <c r="AJ81" s="29">
        <f>$X$81</f>
        <v>-0.57535625145443958</v>
      </c>
      <c r="AK81" s="29">
        <f t="shared" ref="AK81:AK116" si="2">100.5-Z81</f>
        <v>35.5</v>
      </c>
    </row>
    <row r="82" spans="1:37" ht="7.5" customHeight="1" x14ac:dyDescent="0.25">
      <c r="A82" s="1"/>
      <c r="B82" s="1"/>
      <c r="C82" s="7" t="str">
        <f>$AB$85</f>
        <v>S069</v>
      </c>
      <c r="D82" s="8">
        <f>$AC$85</f>
        <v>8</v>
      </c>
      <c r="E82" s="8">
        <f>$AD$85</f>
        <v>12</v>
      </c>
      <c r="F82" s="1"/>
      <c r="G82" s="9">
        <f>$AE$85</f>
        <v>-0.88478795458884185</v>
      </c>
      <c r="H82" s="9">
        <f>$AF$85</f>
        <v>-0.15235687545253279</v>
      </c>
      <c r="I82" s="9">
        <f>$AG$85</f>
        <v>0.2794213198735363</v>
      </c>
      <c r="J82" s="9">
        <f>$AH$85</f>
        <v>1.6366943122153561</v>
      </c>
      <c r="K82" s="9">
        <f>$AI$85</f>
        <v>-1.3366519041822751</v>
      </c>
      <c r="L82" s="9">
        <f>$AJ$85</f>
        <v>-0.57535625145443958</v>
      </c>
      <c r="M82" s="1"/>
      <c r="O82" s="27">
        <v>66</v>
      </c>
      <c r="P82" s="28" t="s">
        <v>103</v>
      </c>
      <c r="Q82" s="27">
        <v>8</v>
      </c>
      <c r="R82" s="27">
        <v>12</v>
      </c>
      <c r="S82" s="29">
        <v>-0.88478795458884185</v>
      </c>
      <c r="T82" s="29">
        <v>-0.15235687545253279</v>
      </c>
      <c r="U82" s="29">
        <v>0.2794213198735363</v>
      </c>
      <c r="V82" s="29">
        <v>1.6366943122153561</v>
      </c>
      <c r="W82" s="29">
        <v>-0.39534774630743341</v>
      </c>
      <c r="X82" s="29">
        <v>-0.32421864715306919</v>
      </c>
      <c r="Z82" s="27">
        <v>66</v>
      </c>
      <c r="AA82" s="27">
        <v>66</v>
      </c>
      <c r="AB82" s="28" t="str">
        <f>$P$82</f>
        <v>S066</v>
      </c>
      <c r="AC82" s="27">
        <f>$Q$82</f>
        <v>8</v>
      </c>
      <c r="AD82" s="27">
        <f>$R$82</f>
        <v>12</v>
      </c>
      <c r="AE82" s="29">
        <f>$S$82</f>
        <v>-0.88478795458884185</v>
      </c>
      <c r="AF82" s="29">
        <f>$T$82</f>
        <v>-0.15235687545253279</v>
      </c>
      <c r="AG82" s="29">
        <f>$U$82</f>
        <v>0.2794213198735363</v>
      </c>
      <c r="AH82" s="29">
        <f>$V$82</f>
        <v>1.6366943122153561</v>
      </c>
      <c r="AI82" s="29">
        <f>$W$82</f>
        <v>-0.39534774630743341</v>
      </c>
      <c r="AJ82" s="29">
        <f>$X$82</f>
        <v>-0.32421864715306919</v>
      </c>
      <c r="AK82" s="29">
        <f t="shared" si="2"/>
        <v>34.5</v>
      </c>
    </row>
    <row r="83" spans="1:37" ht="7.5" customHeight="1" x14ac:dyDescent="0.25">
      <c r="A83" s="1"/>
      <c r="B83" s="1"/>
      <c r="C83" s="7" t="str">
        <f>$AB$86</f>
        <v>S070</v>
      </c>
      <c r="D83" s="8">
        <f>$AC$86</f>
        <v>7</v>
      </c>
      <c r="E83" s="8">
        <f>$AD$86</f>
        <v>4</v>
      </c>
      <c r="F83" s="1"/>
      <c r="G83" s="9">
        <f>$AE$86</f>
        <v>3.8603571849668001E-3</v>
      </c>
      <c r="H83" s="9">
        <f>$AF$86</f>
        <v>-0.33684785708404857</v>
      </c>
      <c r="I83" s="9">
        <f>$AG$86</f>
        <v>-0.1614496741064316</v>
      </c>
      <c r="J83" s="9">
        <f>$AH$86</f>
        <v>0.41921367114484281</v>
      </c>
      <c r="K83" s="9">
        <f>$AI$86</f>
        <v>-0.8659998252448543</v>
      </c>
      <c r="L83" s="9">
        <f>$AJ$86</f>
        <v>-0.57535625145443958</v>
      </c>
      <c r="M83" s="1"/>
      <c r="O83" s="27">
        <v>67</v>
      </c>
      <c r="P83" s="28" t="s">
        <v>104</v>
      </c>
      <c r="Q83" s="27">
        <v>8</v>
      </c>
      <c r="R83" s="27">
        <v>4</v>
      </c>
      <c r="S83" s="29">
        <v>-0.88478795458884185</v>
      </c>
      <c r="T83" s="29">
        <v>-0.40846546589119032</v>
      </c>
      <c r="U83" s="29">
        <v>-0.77962601334600612</v>
      </c>
      <c r="V83" s="29">
        <v>1.543856872720182</v>
      </c>
      <c r="W83" s="29">
        <v>-1.3366519041822751</v>
      </c>
      <c r="X83" s="29">
        <v>-0.57535625145443958</v>
      </c>
      <c r="Z83" s="27">
        <v>67</v>
      </c>
      <c r="AA83" s="27">
        <v>67</v>
      </c>
      <c r="AB83" s="28" t="str">
        <f>$P$83</f>
        <v>S067</v>
      </c>
      <c r="AC83" s="27">
        <f>$Q$83</f>
        <v>8</v>
      </c>
      <c r="AD83" s="27">
        <f>$R$83</f>
        <v>4</v>
      </c>
      <c r="AE83" s="29">
        <f>$S$83</f>
        <v>-0.88478795458884185</v>
      </c>
      <c r="AF83" s="29">
        <f>$T$83</f>
        <v>-0.40846546589119032</v>
      </c>
      <c r="AG83" s="29">
        <f>$U$83</f>
        <v>-0.77962601334600612</v>
      </c>
      <c r="AH83" s="29">
        <f>$V$83</f>
        <v>1.543856872720182</v>
      </c>
      <c r="AI83" s="29">
        <f>$W$83</f>
        <v>-1.3366519041822751</v>
      </c>
      <c r="AJ83" s="29">
        <f>$X$83</f>
        <v>-0.57535625145443958</v>
      </c>
      <c r="AK83" s="29">
        <f t="shared" si="2"/>
        <v>33.5</v>
      </c>
    </row>
    <row r="84" spans="1:37" ht="7.5" customHeight="1" x14ac:dyDescent="0.25">
      <c r="A84" s="1"/>
      <c r="B84" s="1"/>
      <c r="C84" s="7" t="str">
        <f>$AB$87</f>
        <v>S071</v>
      </c>
      <c r="D84" s="8">
        <f>$AC$87</f>
        <v>7</v>
      </c>
      <c r="E84" s="8">
        <f>$AD$87</f>
        <v>12</v>
      </c>
      <c r="F84" s="1"/>
      <c r="G84" s="9">
        <f>$AE$87</f>
        <v>-0.19571905985712729</v>
      </c>
      <c r="H84" s="9">
        <f>$AF$87</f>
        <v>-0.23876131655430399</v>
      </c>
      <c r="I84" s="9">
        <f>$AG$87</f>
        <v>-0.2594844058108205</v>
      </c>
      <c r="J84" s="9">
        <f>$AH$87</f>
        <v>0.40720903783800799</v>
      </c>
      <c r="K84" s="9">
        <f>$AI$87</f>
        <v>-0.8659998252448543</v>
      </c>
      <c r="L84" s="9">
        <f>$AJ$87</f>
        <v>-7.3081042851698697E-2</v>
      </c>
      <c r="M84" s="1"/>
      <c r="O84" s="27">
        <v>68</v>
      </c>
      <c r="P84" s="28" t="s">
        <v>105</v>
      </c>
      <c r="Q84" s="27">
        <v>8</v>
      </c>
      <c r="R84" s="27">
        <v>12</v>
      </c>
      <c r="S84" s="29">
        <v>-0.88478795458884185</v>
      </c>
      <c r="T84" s="29">
        <v>-0.15235687545253279</v>
      </c>
      <c r="U84" s="29">
        <v>0.2794213198735363</v>
      </c>
      <c r="V84" s="29">
        <v>1.6366943122153561</v>
      </c>
      <c r="W84" s="29">
        <v>-0.8659998252448543</v>
      </c>
      <c r="X84" s="29">
        <v>-0.57535625145443958</v>
      </c>
      <c r="Z84" s="27">
        <v>68</v>
      </c>
      <c r="AA84" s="27">
        <v>68</v>
      </c>
      <c r="AB84" s="28" t="str">
        <f>$P$84</f>
        <v>S068</v>
      </c>
      <c r="AC84" s="27">
        <f>$Q$84</f>
        <v>8</v>
      </c>
      <c r="AD84" s="27">
        <f>$R$84</f>
        <v>12</v>
      </c>
      <c r="AE84" s="29">
        <f>$S$84</f>
        <v>-0.88478795458884185</v>
      </c>
      <c r="AF84" s="29">
        <f>$T$84</f>
        <v>-0.15235687545253279</v>
      </c>
      <c r="AG84" s="29">
        <f>$U$84</f>
        <v>0.2794213198735363</v>
      </c>
      <c r="AH84" s="29">
        <f>$V$84</f>
        <v>1.6366943122153561</v>
      </c>
      <c r="AI84" s="29">
        <f>$W$84</f>
        <v>-0.8659998252448543</v>
      </c>
      <c r="AJ84" s="29">
        <f>$X$84</f>
        <v>-0.57535625145443958</v>
      </c>
      <c r="AK84" s="29">
        <f t="shared" si="2"/>
        <v>32.5</v>
      </c>
    </row>
    <row r="85" spans="1:37" ht="7.5" customHeight="1" x14ac:dyDescent="0.25">
      <c r="A85" s="1"/>
      <c r="B85" s="1"/>
      <c r="C85" s="7" t="str">
        <f>$AB$88</f>
        <v>S072</v>
      </c>
      <c r="D85" s="8">
        <f>$AC$88</f>
        <v>7</v>
      </c>
      <c r="E85" s="8">
        <f>$AD$88</f>
        <v>4</v>
      </c>
      <c r="F85" s="1"/>
      <c r="G85" s="9">
        <f>$AE$88</f>
        <v>3.8603571849668001E-3</v>
      </c>
      <c r="H85" s="9">
        <f>$AF$88</f>
        <v>-0.33684785708404857</v>
      </c>
      <c r="I85" s="9">
        <f>$AG$88</f>
        <v>-0.1614496741064316</v>
      </c>
      <c r="J85" s="9">
        <f>$AH$88</f>
        <v>0.41921367114484281</v>
      </c>
      <c r="K85" s="9">
        <f>$AI$88</f>
        <v>-0.39534774630743341</v>
      </c>
      <c r="L85" s="9">
        <f>$AJ$88</f>
        <v>0.42919416575104208</v>
      </c>
      <c r="M85" s="1"/>
      <c r="O85" s="27">
        <v>69</v>
      </c>
      <c r="P85" s="28" t="s">
        <v>106</v>
      </c>
      <c r="Q85" s="27">
        <v>8</v>
      </c>
      <c r="R85" s="27">
        <v>12</v>
      </c>
      <c r="S85" s="29">
        <v>-0.88478795458884185</v>
      </c>
      <c r="T85" s="29">
        <v>-0.15235687545253279</v>
      </c>
      <c r="U85" s="29">
        <v>0.2794213198735363</v>
      </c>
      <c r="V85" s="29">
        <v>1.6366943122153561</v>
      </c>
      <c r="W85" s="29">
        <v>-1.3366519041822751</v>
      </c>
      <c r="X85" s="29">
        <v>-0.57535625145443958</v>
      </c>
      <c r="Z85" s="27">
        <v>69</v>
      </c>
      <c r="AA85" s="27">
        <v>69</v>
      </c>
      <c r="AB85" s="28" t="str">
        <f>$P$85</f>
        <v>S069</v>
      </c>
      <c r="AC85" s="27">
        <f>$Q$85</f>
        <v>8</v>
      </c>
      <c r="AD85" s="27">
        <f>$R$85</f>
        <v>12</v>
      </c>
      <c r="AE85" s="29">
        <f>$S$85</f>
        <v>-0.88478795458884185</v>
      </c>
      <c r="AF85" s="29">
        <f>$T$85</f>
        <v>-0.15235687545253279</v>
      </c>
      <c r="AG85" s="29">
        <f>$U$85</f>
        <v>0.2794213198735363</v>
      </c>
      <c r="AH85" s="29">
        <f>$V$85</f>
        <v>1.6366943122153561</v>
      </c>
      <c r="AI85" s="29">
        <f>$W$85</f>
        <v>-1.3366519041822751</v>
      </c>
      <c r="AJ85" s="29">
        <f>$X$85</f>
        <v>-0.57535625145443958</v>
      </c>
      <c r="AK85" s="29">
        <f t="shared" si="2"/>
        <v>31.5</v>
      </c>
    </row>
    <row r="86" spans="1:37" ht="7.5" customHeight="1" x14ac:dyDescent="0.25">
      <c r="A86" s="1"/>
      <c r="B86" s="1"/>
      <c r="C86" s="7" t="str">
        <f>$AB$89</f>
        <v>S073</v>
      </c>
      <c r="D86" s="8">
        <f>$AC$89</f>
        <v>7</v>
      </c>
      <c r="E86" s="8">
        <f>$AD$89</f>
        <v>12</v>
      </c>
      <c r="F86" s="1"/>
      <c r="G86" s="9">
        <f>$AE$89</f>
        <v>-0.19571905985712729</v>
      </c>
      <c r="H86" s="9">
        <f>$AF$89</f>
        <v>-0.23876131655430399</v>
      </c>
      <c r="I86" s="9">
        <f>$AG$89</f>
        <v>-0.2594844058108205</v>
      </c>
      <c r="J86" s="9">
        <f>$AH$89</f>
        <v>0.40720903783800799</v>
      </c>
      <c r="K86" s="9">
        <f>$AI$89</f>
        <v>7.5304332629987397E-2</v>
      </c>
      <c r="L86" s="9">
        <f>$AJ$89</f>
        <v>-0.57535625145443958</v>
      </c>
      <c r="M86" s="1"/>
      <c r="O86" s="27">
        <v>70</v>
      </c>
      <c r="P86" s="28" t="s">
        <v>107</v>
      </c>
      <c r="Q86" s="27">
        <v>7</v>
      </c>
      <c r="R86" s="27">
        <v>4</v>
      </c>
      <c r="S86" s="29">
        <v>3.8603571849668001E-3</v>
      </c>
      <c r="T86" s="29">
        <v>-0.33684785708404857</v>
      </c>
      <c r="U86" s="29">
        <v>-0.1614496741064316</v>
      </c>
      <c r="V86" s="29">
        <v>0.41921367114484281</v>
      </c>
      <c r="W86" s="29">
        <v>-0.8659998252448543</v>
      </c>
      <c r="X86" s="29">
        <v>-0.57535625145443958</v>
      </c>
      <c r="Z86" s="27">
        <v>70</v>
      </c>
      <c r="AA86" s="27">
        <v>70</v>
      </c>
      <c r="AB86" s="28" t="str">
        <f>$P$86</f>
        <v>S070</v>
      </c>
      <c r="AC86" s="27">
        <f>$Q$86</f>
        <v>7</v>
      </c>
      <c r="AD86" s="27">
        <f>$R$86</f>
        <v>4</v>
      </c>
      <c r="AE86" s="29">
        <f>$S$86</f>
        <v>3.8603571849668001E-3</v>
      </c>
      <c r="AF86" s="29">
        <f>$T$86</f>
        <v>-0.33684785708404857</v>
      </c>
      <c r="AG86" s="29">
        <f>$U$86</f>
        <v>-0.1614496741064316</v>
      </c>
      <c r="AH86" s="29">
        <f>$V$86</f>
        <v>0.41921367114484281</v>
      </c>
      <c r="AI86" s="29">
        <f>$W$86</f>
        <v>-0.8659998252448543</v>
      </c>
      <c r="AJ86" s="29">
        <f>$X$86</f>
        <v>-0.57535625145443958</v>
      </c>
      <c r="AK86" s="29">
        <f t="shared" si="2"/>
        <v>30.5</v>
      </c>
    </row>
    <row r="87" spans="1:37" ht="7.5" customHeight="1" x14ac:dyDescent="0.25">
      <c r="A87" s="1"/>
      <c r="B87" s="1"/>
      <c r="C87" s="7" t="str">
        <f>$AB$90</f>
        <v>S074</v>
      </c>
      <c r="D87" s="8">
        <f>$AC$90</f>
        <v>7</v>
      </c>
      <c r="E87" s="8">
        <f>$AD$90</f>
        <v>4</v>
      </c>
      <c r="F87" s="1"/>
      <c r="G87" s="9">
        <f>$AE$90</f>
        <v>3.8603571849668001E-3</v>
      </c>
      <c r="H87" s="9">
        <f>$AF$90</f>
        <v>-0.33684785708404857</v>
      </c>
      <c r="I87" s="9">
        <f>$AG$90</f>
        <v>-0.1614496741064316</v>
      </c>
      <c r="J87" s="9">
        <f>$AH$90</f>
        <v>0.41921367114484281</v>
      </c>
      <c r="K87" s="9">
        <f>$AI$90</f>
        <v>7.5304332629987397E-2</v>
      </c>
      <c r="L87" s="9">
        <f>$AJ$90</f>
        <v>-7.3081042851698697E-2</v>
      </c>
      <c r="M87" s="1"/>
      <c r="O87" s="27">
        <v>71</v>
      </c>
      <c r="P87" s="28" t="s">
        <v>108</v>
      </c>
      <c r="Q87" s="27">
        <v>7</v>
      </c>
      <c r="R87" s="27">
        <v>12</v>
      </c>
      <c r="S87" s="29">
        <v>-0.19571905985712729</v>
      </c>
      <c r="T87" s="29">
        <v>-0.23876131655430399</v>
      </c>
      <c r="U87" s="29">
        <v>-0.2594844058108205</v>
      </c>
      <c r="V87" s="29">
        <v>0.40720903783800799</v>
      </c>
      <c r="W87" s="29">
        <v>-0.8659998252448543</v>
      </c>
      <c r="X87" s="29">
        <v>-7.3081042851698697E-2</v>
      </c>
      <c r="Z87" s="27">
        <v>71</v>
      </c>
      <c r="AA87" s="27">
        <v>71</v>
      </c>
      <c r="AB87" s="28" t="str">
        <f>$P$87</f>
        <v>S071</v>
      </c>
      <c r="AC87" s="27">
        <f>$Q$87</f>
        <v>7</v>
      </c>
      <c r="AD87" s="27">
        <f>$R$87</f>
        <v>12</v>
      </c>
      <c r="AE87" s="29">
        <f>$S$87</f>
        <v>-0.19571905985712729</v>
      </c>
      <c r="AF87" s="29">
        <f>$T$87</f>
        <v>-0.23876131655430399</v>
      </c>
      <c r="AG87" s="29">
        <f>$U$87</f>
        <v>-0.2594844058108205</v>
      </c>
      <c r="AH87" s="29">
        <f>$V$87</f>
        <v>0.40720903783800799</v>
      </c>
      <c r="AI87" s="29">
        <f>$W$87</f>
        <v>-0.8659998252448543</v>
      </c>
      <c r="AJ87" s="29">
        <f>$X$87</f>
        <v>-7.3081042851698697E-2</v>
      </c>
      <c r="AK87" s="29">
        <f t="shared" si="2"/>
        <v>29.5</v>
      </c>
    </row>
    <row r="88" spans="1:37" ht="7.5" customHeight="1" x14ac:dyDescent="0.25">
      <c r="A88" s="1"/>
      <c r="B88" s="1"/>
      <c r="C88" s="7" t="str">
        <f>$AB$91</f>
        <v>S075</v>
      </c>
      <c r="D88" s="8">
        <f>$AC$91</f>
        <v>7</v>
      </c>
      <c r="E88" s="8">
        <f>$AD$91</f>
        <v>4</v>
      </c>
      <c r="F88" s="1"/>
      <c r="G88" s="9">
        <f>$AE$91</f>
        <v>3.8603571849668001E-3</v>
      </c>
      <c r="H88" s="9">
        <f>$AF$91</f>
        <v>-0.33684785708404857</v>
      </c>
      <c r="I88" s="9">
        <f>$AG$91</f>
        <v>-0.1614496741064316</v>
      </c>
      <c r="J88" s="9">
        <f>$AH$91</f>
        <v>0.41921367114484281</v>
      </c>
      <c r="K88" s="9">
        <f>$AI$91</f>
        <v>7.5304332629987397E-2</v>
      </c>
      <c r="L88" s="9">
        <f>$AJ$91</f>
        <v>-7.3081042851698697E-2</v>
      </c>
      <c r="M88" s="1"/>
      <c r="O88" s="27">
        <v>72</v>
      </c>
      <c r="P88" s="28" t="s">
        <v>109</v>
      </c>
      <c r="Q88" s="27">
        <v>7</v>
      </c>
      <c r="R88" s="27">
        <v>4</v>
      </c>
      <c r="S88" s="29">
        <v>3.8603571849668001E-3</v>
      </c>
      <c r="T88" s="29">
        <v>-0.33684785708404857</v>
      </c>
      <c r="U88" s="29">
        <v>-0.1614496741064316</v>
      </c>
      <c r="V88" s="29">
        <v>0.41921367114484281</v>
      </c>
      <c r="W88" s="29">
        <v>-0.39534774630743341</v>
      </c>
      <c r="X88" s="29">
        <v>0.42919416575104208</v>
      </c>
      <c r="Z88" s="27">
        <v>72</v>
      </c>
      <c r="AA88" s="27">
        <v>72</v>
      </c>
      <c r="AB88" s="28" t="str">
        <f>$P$88</f>
        <v>S072</v>
      </c>
      <c r="AC88" s="27">
        <f>$Q$88</f>
        <v>7</v>
      </c>
      <c r="AD88" s="27">
        <f>$R$88</f>
        <v>4</v>
      </c>
      <c r="AE88" s="29">
        <f>$S$88</f>
        <v>3.8603571849668001E-3</v>
      </c>
      <c r="AF88" s="29">
        <f>$T$88</f>
        <v>-0.33684785708404857</v>
      </c>
      <c r="AG88" s="29">
        <f>$U$88</f>
        <v>-0.1614496741064316</v>
      </c>
      <c r="AH88" s="29">
        <f>$V$88</f>
        <v>0.41921367114484281</v>
      </c>
      <c r="AI88" s="29">
        <f>$W$88</f>
        <v>-0.39534774630743341</v>
      </c>
      <c r="AJ88" s="29">
        <f>$X$88</f>
        <v>0.42919416575104208</v>
      </c>
      <c r="AK88" s="29">
        <f t="shared" si="2"/>
        <v>28.5</v>
      </c>
    </row>
    <row r="89" spans="1:37" ht="7.5" customHeight="1" x14ac:dyDescent="0.25">
      <c r="A89" s="1"/>
      <c r="B89" s="1"/>
      <c r="C89" s="7" t="str">
        <f>$AB$92</f>
        <v>S076</v>
      </c>
      <c r="D89" s="8">
        <f>$AC$92</f>
        <v>10</v>
      </c>
      <c r="E89" s="8">
        <f>$AD$92</f>
        <v>12</v>
      </c>
      <c r="F89" s="1"/>
      <c r="G89" s="9">
        <f>$AE$92</f>
        <v>0.1143178274346681</v>
      </c>
      <c r="H89" s="9">
        <f>$AF$92</f>
        <v>-0.13630394913283231</v>
      </c>
      <c r="I89" s="9">
        <f>$AG$92</f>
        <v>-0.27945578437322321</v>
      </c>
      <c r="J89" s="9">
        <f>$AH$92</f>
        <v>1.346800782970023</v>
      </c>
      <c r="K89" s="9">
        <f>$AI$92</f>
        <v>-0.39534774630743341</v>
      </c>
      <c r="L89" s="9">
        <f>$AJ$92</f>
        <v>-0.57535625145443958</v>
      </c>
      <c r="M89" s="1"/>
      <c r="O89" s="27">
        <v>73</v>
      </c>
      <c r="P89" s="28" t="s">
        <v>110</v>
      </c>
      <c r="Q89" s="27">
        <v>7</v>
      </c>
      <c r="R89" s="27">
        <v>12</v>
      </c>
      <c r="S89" s="29">
        <v>-0.19571905985712729</v>
      </c>
      <c r="T89" s="29">
        <v>-0.23876131655430399</v>
      </c>
      <c r="U89" s="29">
        <v>-0.2594844058108205</v>
      </c>
      <c r="V89" s="29">
        <v>0.40720903783800799</v>
      </c>
      <c r="W89" s="29">
        <v>7.5304332629987397E-2</v>
      </c>
      <c r="X89" s="29">
        <v>-0.57535625145443958</v>
      </c>
      <c r="Z89" s="27">
        <v>73</v>
      </c>
      <c r="AA89" s="27">
        <v>73</v>
      </c>
      <c r="AB89" s="28" t="str">
        <f>$P$89</f>
        <v>S073</v>
      </c>
      <c r="AC89" s="27">
        <f>$Q$89</f>
        <v>7</v>
      </c>
      <c r="AD89" s="27">
        <f>$R$89</f>
        <v>12</v>
      </c>
      <c r="AE89" s="29">
        <f>$S$89</f>
        <v>-0.19571905985712729</v>
      </c>
      <c r="AF89" s="29">
        <f>$T$89</f>
        <v>-0.23876131655430399</v>
      </c>
      <c r="AG89" s="29">
        <f>$U$89</f>
        <v>-0.2594844058108205</v>
      </c>
      <c r="AH89" s="29">
        <f>$V$89</f>
        <v>0.40720903783800799</v>
      </c>
      <c r="AI89" s="29">
        <f>$W$89</f>
        <v>7.5304332629987397E-2</v>
      </c>
      <c r="AJ89" s="29">
        <f>$X$89</f>
        <v>-0.57535625145443958</v>
      </c>
      <c r="AK89" s="29">
        <f t="shared" si="2"/>
        <v>27.5</v>
      </c>
    </row>
    <row r="90" spans="1:37" ht="7.5" customHeight="1" x14ac:dyDescent="0.25">
      <c r="A90" s="1"/>
      <c r="B90" s="1"/>
      <c r="C90" s="7" t="str">
        <f>$AB$93</f>
        <v>S077</v>
      </c>
      <c r="D90" s="8">
        <f>$AC$93</f>
        <v>10</v>
      </c>
      <c r="E90" s="8">
        <f>$AD$93</f>
        <v>12</v>
      </c>
      <c r="F90" s="1"/>
      <c r="G90" s="9">
        <f>$AE$93</f>
        <v>0.1143178274346681</v>
      </c>
      <c r="H90" s="9">
        <f>$AF$93</f>
        <v>-0.13630394913283231</v>
      </c>
      <c r="I90" s="9">
        <f>$AG$93</f>
        <v>-0.27945578437322321</v>
      </c>
      <c r="J90" s="9">
        <f>$AH$93</f>
        <v>1.346800782970023</v>
      </c>
      <c r="K90" s="9">
        <f>$AI$93</f>
        <v>-0.8659998252448543</v>
      </c>
      <c r="L90" s="9">
        <f>$AJ$93</f>
        <v>-0.57535625145443958</v>
      </c>
      <c r="M90" s="1"/>
      <c r="O90" s="27">
        <v>74</v>
      </c>
      <c r="P90" s="28" t="s">
        <v>111</v>
      </c>
      <c r="Q90" s="27">
        <v>7</v>
      </c>
      <c r="R90" s="27">
        <v>4</v>
      </c>
      <c r="S90" s="29">
        <v>3.8603571849668001E-3</v>
      </c>
      <c r="T90" s="29">
        <v>-0.33684785708404857</v>
      </c>
      <c r="U90" s="29">
        <v>-0.1614496741064316</v>
      </c>
      <c r="V90" s="29">
        <v>0.41921367114484281</v>
      </c>
      <c r="W90" s="29">
        <v>7.5304332629987397E-2</v>
      </c>
      <c r="X90" s="29">
        <v>-7.3081042851698697E-2</v>
      </c>
      <c r="Z90" s="27">
        <v>74</v>
      </c>
      <c r="AA90" s="27">
        <v>74</v>
      </c>
      <c r="AB90" s="28" t="str">
        <f>$P$90</f>
        <v>S074</v>
      </c>
      <c r="AC90" s="27">
        <f>$Q$90</f>
        <v>7</v>
      </c>
      <c r="AD90" s="27">
        <f>$R$90</f>
        <v>4</v>
      </c>
      <c r="AE90" s="29">
        <f>$S$90</f>
        <v>3.8603571849668001E-3</v>
      </c>
      <c r="AF90" s="29">
        <f>$T$90</f>
        <v>-0.33684785708404857</v>
      </c>
      <c r="AG90" s="29">
        <f>$U$90</f>
        <v>-0.1614496741064316</v>
      </c>
      <c r="AH90" s="29">
        <f>$V$90</f>
        <v>0.41921367114484281</v>
      </c>
      <c r="AI90" s="29">
        <f>$W$90</f>
        <v>7.5304332629987397E-2</v>
      </c>
      <c r="AJ90" s="29">
        <f>$X$90</f>
        <v>-7.3081042851698697E-2</v>
      </c>
      <c r="AK90" s="29">
        <f t="shared" si="2"/>
        <v>26.5</v>
      </c>
    </row>
    <row r="91" spans="1:37" ht="7.5" customHeight="1" x14ac:dyDescent="0.25">
      <c r="A91" s="1"/>
      <c r="B91" s="1"/>
      <c r="C91" s="7" t="str">
        <f>$AB$94</f>
        <v>S078</v>
      </c>
      <c r="D91" s="8">
        <f>$AC$94</f>
        <v>10</v>
      </c>
      <c r="E91" s="8">
        <f>$AD$94</f>
        <v>12</v>
      </c>
      <c r="F91" s="1"/>
      <c r="G91" s="9">
        <f>$AE$94</f>
        <v>0.1143178274346681</v>
      </c>
      <c r="H91" s="9">
        <f>$AF$94</f>
        <v>-0.13630394913283231</v>
      </c>
      <c r="I91" s="9">
        <f>$AG$94</f>
        <v>-0.27945578437322321</v>
      </c>
      <c r="J91" s="9">
        <f>$AH$94</f>
        <v>1.346800782970023</v>
      </c>
      <c r="K91" s="9">
        <f>$AI$94</f>
        <v>1.0166084905048289</v>
      </c>
      <c r="L91" s="9">
        <f>$AJ$94</f>
        <v>-0.47490120973389149</v>
      </c>
      <c r="M91" s="1"/>
      <c r="O91" s="27">
        <v>75</v>
      </c>
      <c r="P91" s="28" t="s">
        <v>112</v>
      </c>
      <c r="Q91" s="27">
        <v>7</v>
      </c>
      <c r="R91" s="27">
        <v>4</v>
      </c>
      <c r="S91" s="29">
        <v>3.8603571849668001E-3</v>
      </c>
      <c r="T91" s="29">
        <v>-0.33684785708404857</v>
      </c>
      <c r="U91" s="29">
        <v>-0.1614496741064316</v>
      </c>
      <c r="V91" s="29">
        <v>0.41921367114484281</v>
      </c>
      <c r="W91" s="29">
        <v>7.5304332629987397E-2</v>
      </c>
      <c r="X91" s="29">
        <v>-7.3081042851698697E-2</v>
      </c>
      <c r="Z91" s="27">
        <v>75</v>
      </c>
      <c r="AA91" s="27">
        <v>75</v>
      </c>
      <c r="AB91" s="28" t="str">
        <f>$P$91</f>
        <v>S075</v>
      </c>
      <c r="AC91" s="27">
        <f>$Q$91</f>
        <v>7</v>
      </c>
      <c r="AD91" s="27">
        <f>$R$91</f>
        <v>4</v>
      </c>
      <c r="AE91" s="29">
        <f>$S$91</f>
        <v>3.8603571849668001E-3</v>
      </c>
      <c r="AF91" s="29">
        <f>$T$91</f>
        <v>-0.33684785708404857</v>
      </c>
      <c r="AG91" s="29">
        <f>$U$91</f>
        <v>-0.1614496741064316</v>
      </c>
      <c r="AH91" s="29">
        <f>$V$91</f>
        <v>0.41921367114484281</v>
      </c>
      <c r="AI91" s="29">
        <f>$W$91</f>
        <v>7.5304332629987397E-2</v>
      </c>
      <c r="AJ91" s="29">
        <f>$X$91</f>
        <v>-7.3081042851698697E-2</v>
      </c>
      <c r="AK91" s="29">
        <f t="shared" si="2"/>
        <v>25.5</v>
      </c>
    </row>
    <row r="92" spans="1:37" ht="7.5" customHeight="1" x14ac:dyDescent="0.25">
      <c r="A92" s="1"/>
      <c r="B92" s="1"/>
      <c r="C92" s="7" t="str">
        <f>$AB$95</f>
        <v>S079</v>
      </c>
      <c r="D92" s="8">
        <f>$AC$95</f>
        <v>10</v>
      </c>
      <c r="E92" s="8">
        <f>$AD$95</f>
        <v>4</v>
      </c>
      <c r="F92" s="1"/>
      <c r="G92" s="9">
        <f>$AE$95</f>
        <v>0.64758572691030925</v>
      </c>
      <c r="H92" s="9">
        <f>$AF$95</f>
        <v>6.6314134292251803E-2</v>
      </c>
      <c r="I92" s="9">
        <f>$AG$95</f>
        <v>-0.50696597645068275</v>
      </c>
      <c r="J92" s="9">
        <f>$AH$95</f>
        <v>1.09043729863156</v>
      </c>
      <c r="K92" s="9">
        <f>$AI$95</f>
        <v>0.54595641156740826</v>
      </c>
      <c r="L92" s="9">
        <f>$AJ$95</f>
        <v>-0.24050611238594569</v>
      </c>
      <c r="M92" s="1"/>
      <c r="O92" s="27">
        <v>76</v>
      </c>
      <c r="P92" s="28" t="s">
        <v>113</v>
      </c>
      <c r="Q92" s="27">
        <v>10</v>
      </c>
      <c r="R92" s="27">
        <v>12</v>
      </c>
      <c r="S92" s="29">
        <v>0.1143178274346681</v>
      </c>
      <c r="T92" s="29">
        <v>-0.13630394913283231</v>
      </c>
      <c r="U92" s="29">
        <v>-0.27945578437322321</v>
      </c>
      <c r="V92" s="29">
        <v>1.346800782970023</v>
      </c>
      <c r="W92" s="29">
        <v>-0.39534774630743341</v>
      </c>
      <c r="X92" s="29">
        <v>-0.57535625145443958</v>
      </c>
      <c r="Z92" s="27">
        <v>76</v>
      </c>
      <c r="AA92" s="27">
        <v>76</v>
      </c>
      <c r="AB92" s="28" t="str">
        <f>$P$92</f>
        <v>S076</v>
      </c>
      <c r="AC92" s="27">
        <f>$Q$92</f>
        <v>10</v>
      </c>
      <c r="AD92" s="27">
        <f>$R$92</f>
        <v>12</v>
      </c>
      <c r="AE92" s="29">
        <f>$S$92</f>
        <v>0.1143178274346681</v>
      </c>
      <c r="AF92" s="29">
        <f>$T$92</f>
        <v>-0.13630394913283231</v>
      </c>
      <c r="AG92" s="29">
        <f>$U$92</f>
        <v>-0.27945578437322321</v>
      </c>
      <c r="AH92" s="29">
        <f>$V$92</f>
        <v>1.346800782970023</v>
      </c>
      <c r="AI92" s="29">
        <f>$W$92</f>
        <v>-0.39534774630743341</v>
      </c>
      <c r="AJ92" s="29">
        <f>$X$92</f>
        <v>-0.57535625145443958</v>
      </c>
      <c r="AK92" s="29">
        <f t="shared" si="2"/>
        <v>24.5</v>
      </c>
    </row>
    <row r="93" spans="1:37" ht="7.5" customHeight="1" x14ac:dyDescent="0.25">
      <c r="A93" s="1"/>
      <c r="B93" s="1"/>
      <c r="C93" s="7" t="str">
        <f>$AB$96</f>
        <v>S080</v>
      </c>
      <c r="D93" s="8">
        <f>$AC$96</f>
        <v>10</v>
      </c>
      <c r="E93" s="8">
        <f>$AD$96</f>
        <v>4</v>
      </c>
      <c r="F93" s="1"/>
      <c r="G93" s="9">
        <f>$AE$96</f>
        <v>0.64758572691030925</v>
      </c>
      <c r="H93" s="9">
        <f>$AF$96</f>
        <v>6.6314134292251803E-2</v>
      </c>
      <c r="I93" s="9">
        <f>$AG$96</f>
        <v>-0.50696597645068275</v>
      </c>
      <c r="J93" s="9">
        <f>$AH$96</f>
        <v>1.09043729863156</v>
      </c>
      <c r="K93" s="9">
        <f>$AI$96</f>
        <v>7.5304332629987397E-2</v>
      </c>
      <c r="L93" s="9">
        <f>$AJ$96</f>
        <v>-7.3081042851698697E-2</v>
      </c>
      <c r="M93" s="1"/>
      <c r="O93" s="27">
        <v>77</v>
      </c>
      <c r="P93" s="28" t="s">
        <v>114</v>
      </c>
      <c r="Q93" s="27">
        <v>10</v>
      </c>
      <c r="R93" s="27">
        <v>12</v>
      </c>
      <c r="S93" s="29">
        <v>0.1143178274346681</v>
      </c>
      <c r="T93" s="29">
        <v>-0.13630394913283231</v>
      </c>
      <c r="U93" s="29">
        <v>-0.27945578437322321</v>
      </c>
      <c r="V93" s="29">
        <v>1.346800782970023</v>
      </c>
      <c r="W93" s="29">
        <v>-0.8659998252448543</v>
      </c>
      <c r="X93" s="29">
        <v>-0.57535625145443958</v>
      </c>
      <c r="Z93" s="27">
        <v>77</v>
      </c>
      <c r="AA93" s="27">
        <v>77</v>
      </c>
      <c r="AB93" s="28" t="str">
        <f>$P$93</f>
        <v>S077</v>
      </c>
      <c r="AC93" s="27">
        <f>$Q$93</f>
        <v>10</v>
      </c>
      <c r="AD93" s="27">
        <f>$R$93</f>
        <v>12</v>
      </c>
      <c r="AE93" s="29">
        <f>$S$93</f>
        <v>0.1143178274346681</v>
      </c>
      <c r="AF93" s="29">
        <f>$T$93</f>
        <v>-0.13630394913283231</v>
      </c>
      <c r="AG93" s="29">
        <f>$U$93</f>
        <v>-0.27945578437322321</v>
      </c>
      <c r="AH93" s="29">
        <f>$V$93</f>
        <v>1.346800782970023</v>
      </c>
      <c r="AI93" s="29">
        <f>$W$93</f>
        <v>-0.8659998252448543</v>
      </c>
      <c r="AJ93" s="29">
        <f>$X$93</f>
        <v>-0.57535625145443958</v>
      </c>
      <c r="AK93" s="29">
        <f t="shared" si="2"/>
        <v>23.5</v>
      </c>
    </row>
    <row r="94" spans="1:37" ht="7.5" customHeight="1" x14ac:dyDescent="0.25">
      <c r="A94" s="1"/>
      <c r="B94" s="1"/>
      <c r="C94" s="7" t="str">
        <f>$AB$97</f>
        <v>S081</v>
      </c>
      <c r="D94" s="8">
        <f>$AC$97</f>
        <v>10</v>
      </c>
      <c r="E94" s="8">
        <f>$AD$97</f>
        <v>4</v>
      </c>
      <c r="F94" s="1"/>
      <c r="G94" s="9">
        <f>$AE$97</f>
        <v>0.64758572691030925</v>
      </c>
      <c r="H94" s="9">
        <f>$AF$97</f>
        <v>6.6314134292251803E-2</v>
      </c>
      <c r="I94" s="9">
        <f>$AG$97</f>
        <v>-0.50696597645068275</v>
      </c>
      <c r="J94" s="9">
        <f>$AH$97</f>
        <v>1.09043729863156</v>
      </c>
      <c r="K94" s="9">
        <f>$AI$97</f>
        <v>-0.39534774630743341</v>
      </c>
      <c r="L94" s="9">
        <f>$AJ$97</f>
        <v>-0.32421864715306919</v>
      </c>
      <c r="M94" s="1"/>
      <c r="O94" s="27">
        <v>78</v>
      </c>
      <c r="P94" s="28" t="s">
        <v>115</v>
      </c>
      <c r="Q94" s="27">
        <v>10</v>
      </c>
      <c r="R94" s="27">
        <v>12</v>
      </c>
      <c r="S94" s="29">
        <v>0.1143178274346681</v>
      </c>
      <c r="T94" s="29">
        <v>-0.13630394913283231</v>
      </c>
      <c r="U94" s="29">
        <v>-0.27945578437322321</v>
      </c>
      <c r="V94" s="29">
        <v>1.346800782970023</v>
      </c>
      <c r="W94" s="29">
        <v>1.0166084905048289</v>
      </c>
      <c r="X94" s="29">
        <v>-0.47490120973389149</v>
      </c>
      <c r="Z94" s="27">
        <v>78</v>
      </c>
      <c r="AA94" s="27">
        <v>78</v>
      </c>
      <c r="AB94" s="28" t="str">
        <f>$P$94</f>
        <v>S078</v>
      </c>
      <c r="AC94" s="27">
        <f>$Q$94</f>
        <v>10</v>
      </c>
      <c r="AD94" s="27">
        <f>$R$94</f>
        <v>12</v>
      </c>
      <c r="AE94" s="29">
        <f>$S$94</f>
        <v>0.1143178274346681</v>
      </c>
      <c r="AF94" s="29">
        <f>$T$94</f>
        <v>-0.13630394913283231</v>
      </c>
      <c r="AG94" s="29">
        <f>$U$94</f>
        <v>-0.27945578437322321</v>
      </c>
      <c r="AH94" s="29">
        <f>$V$94</f>
        <v>1.346800782970023</v>
      </c>
      <c r="AI94" s="29">
        <f>$W$94</f>
        <v>1.0166084905048289</v>
      </c>
      <c r="AJ94" s="29">
        <f>$X$94</f>
        <v>-0.47490120973389149</v>
      </c>
      <c r="AK94" s="29">
        <f t="shared" si="2"/>
        <v>22.5</v>
      </c>
    </row>
    <row r="95" spans="1:37" ht="7.5" customHeight="1" x14ac:dyDescent="0.25">
      <c r="A95" s="1"/>
      <c r="B95" s="1"/>
      <c r="C95" s="7" t="str">
        <f>$AB$98</f>
        <v>S082</v>
      </c>
      <c r="D95" s="8">
        <f>$AC$98</f>
        <v>10</v>
      </c>
      <c r="E95" s="8">
        <f>$AD$98</f>
        <v>12</v>
      </c>
      <c r="F95" s="1"/>
      <c r="G95" s="9">
        <f>$AE$98</f>
        <v>0.1143178274346681</v>
      </c>
      <c r="H95" s="9">
        <f>$AF$98</f>
        <v>-0.13630394913283231</v>
      </c>
      <c r="I95" s="9">
        <f>$AG$98</f>
        <v>-0.27945578437322321</v>
      </c>
      <c r="J95" s="9">
        <f>$AH$98</f>
        <v>1.346800782970023</v>
      </c>
      <c r="K95" s="9">
        <f>$AI$98</f>
        <v>7.5304332629987397E-2</v>
      </c>
      <c r="L95" s="9">
        <f>$AJ$98</f>
        <v>-0.40793118192019268</v>
      </c>
      <c r="M95" s="1"/>
      <c r="O95" s="27">
        <v>79</v>
      </c>
      <c r="P95" s="28" t="s">
        <v>116</v>
      </c>
      <c r="Q95" s="27">
        <v>10</v>
      </c>
      <c r="R95" s="27">
        <v>4</v>
      </c>
      <c r="S95" s="29">
        <v>0.64758572691030925</v>
      </c>
      <c r="T95" s="29">
        <v>6.6314134292251803E-2</v>
      </c>
      <c r="U95" s="29">
        <v>-0.50696597645068275</v>
      </c>
      <c r="V95" s="29">
        <v>1.09043729863156</v>
      </c>
      <c r="W95" s="29">
        <v>0.54595641156740826</v>
      </c>
      <c r="X95" s="29">
        <v>-0.24050611238594569</v>
      </c>
      <c r="Z95" s="27">
        <v>79</v>
      </c>
      <c r="AA95" s="27">
        <v>79</v>
      </c>
      <c r="AB95" s="28" t="str">
        <f>$P$95</f>
        <v>S079</v>
      </c>
      <c r="AC95" s="27">
        <f>$Q$95</f>
        <v>10</v>
      </c>
      <c r="AD95" s="27">
        <f>$R$95</f>
        <v>4</v>
      </c>
      <c r="AE95" s="29">
        <f>$S$95</f>
        <v>0.64758572691030925</v>
      </c>
      <c r="AF95" s="29">
        <f>$T$95</f>
        <v>6.6314134292251803E-2</v>
      </c>
      <c r="AG95" s="29">
        <f>$U$95</f>
        <v>-0.50696597645068275</v>
      </c>
      <c r="AH95" s="29">
        <f>$V$95</f>
        <v>1.09043729863156</v>
      </c>
      <c r="AI95" s="29">
        <f>$W$95</f>
        <v>0.54595641156740826</v>
      </c>
      <c r="AJ95" s="29">
        <f>$X$95</f>
        <v>-0.24050611238594569</v>
      </c>
      <c r="AK95" s="29">
        <f t="shared" si="2"/>
        <v>21.5</v>
      </c>
    </row>
    <row r="96" spans="1:37" ht="7.5" customHeight="1" x14ac:dyDescent="0.25">
      <c r="A96" s="1"/>
      <c r="B96" s="1"/>
      <c r="C96" s="7" t="str">
        <f>$AB$99</f>
        <v>S083</v>
      </c>
      <c r="D96" s="8">
        <f>$AC$99</f>
        <v>4</v>
      </c>
      <c r="E96" s="8">
        <f>$AD$99</f>
        <v>4</v>
      </c>
      <c r="F96" s="1"/>
      <c r="G96" s="9">
        <f>$AE$99</f>
        <v>-0.74419202851656929</v>
      </c>
      <c r="H96" s="9">
        <f>$AF$99</f>
        <v>-1.4328998276458209</v>
      </c>
      <c r="I96" s="9">
        <f>$AG$99</f>
        <v>-1.773004776621806</v>
      </c>
      <c r="J96" s="9">
        <f>$AH$99</f>
        <v>0.89399479625396294</v>
      </c>
      <c r="K96" s="9">
        <f>$AI$99</f>
        <v>-0.8659998252448543</v>
      </c>
      <c r="L96" s="9">
        <f>$AJ$99</f>
        <v>-0.57535625145443958</v>
      </c>
      <c r="M96" s="1"/>
      <c r="O96" s="27">
        <v>80</v>
      </c>
      <c r="P96" s="28" t="s">
        <v>117</v>
      </c>
      <c r="Q96" s="27">
        <v>10</v>
      </c>
      <c r="R96" s="27">
        <v>4</v>
      </c>
      <c r="S96" s="29">
        <v>0.64758572691030925</v>
      </c>
      <c r="T96" s="29">
        <v>6.6314134292251803E-2</v>
      </c>
      <c r="U96" s="29">
        <v>-0.50696597645068275</v>
      </c>
      <c r="V96" s="29">
        <v>1.09043729863156</v>
      </c>
      <c r="W96" s="29">
        <v>7.5304332629987397E-2</v>
      </c>
      <c r="X96" s="29">
        <v>-7.3081042851698697E-2</v>
      </c>
      <c r="Z96" s="27">
        <v>80</v>
      </c>
      <c r="AA96" s="27">
        <v>80</v>
      </c>
      <c r="AB96" s="28" t="str">
        <f>$P$96</f>
        <v>S080</v>
      </c>
      <c r="AC96" s="27">
        <f>$Q$96</f>
        <v>10</v>
      </c>
      <c r="AD96" s="27">
        <f>$R$96</f>
        <v>4</v>
      </c>
      <c r="AE96" s="29">
        <f>$S$96</f>
        <v>0.64758572691030925</v>
      </c>
      <c r="AF96" s="29">
        <f>$T$96</f>
        <v>6.6314134292251803E-2</v>
      </c>
      <c r="AG96" s="29">
        <f>$U$96</f>
        <v>-0.50696597645068275</v>
      </c>
      <c r="AH96" s="29">
        <f>$V$96</f>
        <v>1.09043729863156</v>
      </c>
      <c r="AI96" s="29">
        <f>$W$96</f>
        <v>7.5304332629987397E-2</v>
      </c>
      <c r="AJ96" s="29">
        <f>$X$96</f>
        <v>-7.3081042851698697E-2</v>
      </c>
      <c r="AK96" s="29">
        <f t="shared" si="2"/>
        <v>20.5</v>
      </c>
    </row>
    <row r="97" spans="1:37" ht="7.5" customHeight="1" x14ac:dyDescent="0.25">
      <c r="A97" s="1"/>
      <c r="B97" s="1"/>
      <c r="C97" s="7" t="str">
        <f>$AB$100</f>
        <v>S084</v>
      </c>
      <c r="D97" s="8">
        <f>$AC$100</f>
        <v>4</v>
      </c>
      <c r="E97" s="8">
        <f>$AD$100</f>
        <v>4</v>
      </c>
      <c r="F97" s="1"/>
      <c r="G97" s="9">
        <f>$AE$100</f>
        <v>-0.74419202851656929</v>
      </c>
      <c r="H97" s="9">
        <f>$AF$100</f>
        <v>-1.4328998276458209</v>
      </c>
      <c r="I97" s="9">
        <f>$AG$100</f>
        <v>-1.773004776621806</v>
      </c>
      <c r="J97" s="9">
        <f>$AH$100</f>
        <v>0.89399479625396294</v>
      </c>
      <c r="K97" s="9">
        <f>$AI$100</f>
        <v>0.54595641156740826</v>
      </c>
      <c r="L97" s="9">
        <f>$AJ$100</f>
        <v>-0.24050611238594569</v>
      </c>
      <c r="M97" s="1"/>
      <c r="O97" s="27">
        <v>81</v>
      </c>
      <c r="P97" s="28" t="s">
        <v>118</v>
      </c>
      <c r="Q97" s="27">
        <v>10</v>
      </c>
      <c r="R97" s="27">
        <v>4</v>
      </c>
      <c r="S97" s="29">
        <v>0.64758572691030925</v>
      </c>
      <c r="T97" s="29">
        <v>6.6314134292251803E-2</v>
      </c>
      <c r="U97" s="29">
        <v>-0.50696597645068275</v>
      </c>
      <c r="V97" s="29">
        <v>1.09043729863156</v>
      </c>
      <c r="W97" s="29">
        <v>-0.39534774630743341</v>
      </c>
      <c r="X97" s="29">
        <v>-0.32421864715306919</v>
      </c>
      <c r="Z97" s="27">
        <v>81</v>
      </c>
      <c r="AA97" s="27">
        <v>81</v>
      </c>
      <c r="AB97" s="28" t="str">
        <f>$P$97</f>
        <v>S081</v>
      </c>
      <c r="AC97" s="27">
        <f>$Q$97</f>
        <v>10</v>
      </c>
      <c r="AD97" s="27">
        <f>$R$97</f>
        <v>4</v>
      </c>
      <c r="AE97" s="29">
        <f>$S$97</f>
        <v>0.64758572691030925</v>
      </c>
      <c r="AF97" s="29">
        <f>$T$97</f>
        <v>6.6314134292251803E-2</v>
      </c>
      <c r="AG97" s="29">
        <f>$U$97</f>
        <v>-0.50696597645068275</v>
      </c>
      <c r="AH97" s="29">
        <f>$V$97</f>
        <v>1.09043729863156</v>
      </c>
      <c r="AI97" s="29">
        <f>$W$97</f>
        <v>-0.39534774630743341</v>
      </c>
      <c r="AJ97" s="29">
        <f>$X$97</f>
        <v>-0.32421864715306919</v>
      </c>
      <c r="AK97" s="29">
        <f t="shared" si="2"/>
        <v>19.5</v>
      </c>
    </row>
    <row r="98" spans="1:37" ht="7.5" customHeight="1" x14ac:dyDescent="0.25">
      <c r="A98" s="1"/>
      <c r="B98" s="1"/>
      <c r="C98" s="7" t="str">
        <f>$AB$101</f>
        <v>S085</v>
      </c>
      <c r="D98" s="8">
        <f>$AC$101</f>
        <v>4</v>
      </c>
      <c r="E98" s="8">
        <f>$AD$101</f>
        <v>4</v>
      </c>
      <c r="F98" s="1"/>
      <c r="G98" s="9">
        <f>$AE$101</f>
        <v>-0.74419202851656929</v>
      </c>
      <c r="H98" s="9">
        <f>$AF$101</f>
        <v>-1.4328998276458209</v>
      </c>
      <c r="I98" s="9">
        <f>$AG$101</f>
        <v>-1.773004776621806</v>
      </c>
      <c r="J98" s="9">
        <f>$AH$101</f>
        <v>0.89399479625396294</v>
      </c>
      <c r="K98" s="9">
        <f>$AI$101</f>
        <v>0.54595641156740826</v>
      </c>
      <c r="L98" s="9">
        <f>$AJ$101</f>
        <v>-0.24050611238594569</v>
      </c>
      <c r="M98" s="1"/>
      <c r="O98" s="27">
        <v>82</v>
      </c>
      <c r="P98" s="28" t="s">
        <v>119</v>
      </c>
      <c r="Q98" s="27">
        <v>10</v>
      </c>
      <c r="R98" s="27">
        <v>12</v>
      </c>
      <c r="S98" s="29">
        <v>0.1143178274346681</v>
      </c>
      <c r="T98" s="29">
        <v>-0.13630394913283231</v>
      </c>
      <c r="U98" s="29">
        <v>-0.27945578437322321</v>
      </c>
      <c r="V98" s="29">
        <v>1.346800782970023</v>
      </c>
      <c r="W98" s="29">
        <v>7.5304332629987397E-2</v>
      </c>
      <c r="X98" s="29">
        <v>-0.40793118192019268</v>
      </c>
      <c r="Z98" s="27">
        <v>82</v>
      </c>
      <c r="AA98" s="27">
        <v>82</v>
      </c>
      <c r="AB98" s="28" t="str">
        <f>$P$98</f>
        <v>S082</v>
      </c>
      <c r="AC98" s="27">
        <f>$Q$98</f>
        <v>10</v>
      </c>
      <c r="AD98" s="27">
        <f>$R$98</f>
        <v>12</v>
      </c>
      <c r="AE98" s="29">
        <f>$S$98</f>
        <v>0.1143178274346681</v>
      </c>
      <c r="AF98" s="29">
        <f>$T$98</f>
        <v>-0.13630394913283231</v>
      </c>
      <c r="AG98" s="29">
        <f>$U$98</f>
        <v>-0.27945578437322321</v>
      </c>
      <c r="AH98" s="29">
        <f>$V$98</f>
        <v>1.346800782970023</v>
      </c>
      <c r="AI98" s="29">
        <f>$W$98</f>
        <v>7.5304332629987397E-2</v>
      </c>
      <c r="AJ98" s="29">
        <f>$X$98</f>
        <v>-0.40793118192019268</v>
      </c>
      <c r="AK98" s="29">
        <f t="shared" si="2"/>
        <v>18.5</v>
      </c>
    </row>
    <row r="99" spans="1:37" ht="7.5" customHeight="1" x14ac:dyDescent="0.25">
      <c r="A99" s="1"/>
      <c r="B99" s="1"/>
      <c r="C99" s="7" t="str">
        <f>$AB$102</f>
        <v>S086</v>
      </c>
      <c r="D99" s="8">
        <f>$AC$102</f>
        <v>4</v>
      </c>
      <c r="E99" s="8">
        <f>$AD$102</f>
        <v>12</v>
      </c>
      <c r="F99" s="1"/>
      <c r="G99" s="9">
        <f>$AE$102</f>
        <v>-1.0956818436972511</v>
      </c>
      <c r="H99" s="9">
        <f>$AF$102</f>
        <v>-1.2621607673533819</v>
      </c>
      <c r="I99" s="9">
        <f>$AG$102</f>
        <v>-1.72454277947209</v>
      </c>
      <c r="J99" s="9">
        <f>$AH$102</f>
        <v>0.52264503827326714</v>
      </c>
      <c r="K99" s="9">
        <f>$AI$102</f>
        <v>7.5304332629987397E-2</v>
      </c>
      <c r="L99" s="9">
        <f>$AJ$102</f>
        <v>-0.57535625145443958</v>
      </c>
      <c r="M99" s="1"/>
      <c r="O99" s="27">
        <v>83</v>
      </c>
      <c r="P99" s="28" t="s">
        <v>120</v>
      </c>
      <c r="Q99" s="27">
        <v>4</v>
      </c>
      <c r="R99" s="27">
        <v>4</v>
      </c>
      <c r="S99" s="29">
        <v>-0.74419202851656929</v>
      </c>
      <c r="T99" s="29">
        <v>-1.4328998276458209</v>
      </c>
      <c r="U99" s="29">
        <v>-1.773004776621806</v>
      </c>
      <c r="V99" s="29">
        <v>0.89399479625396294</v>
      </c>
      <c r="W99" s="29">
        <v>-0.8659998252448543</v>
      </c>
      <c r="X99" s="29">
        <v>-0.57535625145443958</v>
      </c>
      <c r="Z99" s="27">
        <v>83</v>
      </c>
      <c r="AA99" s="27">
        <v>83</v>
      </c>
      <c r="AB99" s="28" t="str">
        <f>$P$99</f>
        <v>S083</v>
      </c>
      <c r="AC99" s="27">
        <f>$Q$99</f>
        <v>4</v>
      </c>
      <c r="AD99" s="27">
        <f>$R$99</f>
        <v>4</v>
      </c>
      <c r="AE99" s="29">
        <f>$S$99</f>
        <v>-0.74419202851656929</v>
      </c>
      <c r="AF99" s="29">
        <f>$T$99</f>
        <v>-1.4328998276458209</v>
      </c>
      <c r="AG99" s="29">
        <f>$U$99</f>
        <v>-1.773004776621806</v>
      </c>
      <c r="AH99" s="29">
        <f>$V$99</f>
        <v>0.89399479625396294</v>
      </c>
      <c r="AI99" s="29">
        <f>$W$99</f>
        <v>-0.8659998252448543</v>
      </c>
      <c r="AJ99" s="29">
        <f>$X$99</f>
        <v>-0.57535625145443958</v>
      </c>
      <c r="AK99" s="29">
        <f t="shared" si="2"/>
        <v>17.5</v>
      </c>
    </row>
    <row r="100" spans="1:37" ht="7.5" customHeight="1" x14ac:dyDescent="0.25">
      <c r="A100" s="1"/>
      <c r="B100" s="1"/>
      <c r="C100" s="7" t="str">
        <f>$AB$103</f>
        <v>S087</v>
      </c>
      <c r="D100" s="8">
        <f>$AC$103</f>
        <v>4</v>
      </c>
      <c r="E100" s="8">
        <f>$AD$103</f>
        <v>12</v>
      </c>
      <c r="F100" s="1"/>
      <c r="G100" s="9">
        <f>$AE$103</f>
        <v>-1.0956818436972511</v>
      </c>
      <c r="H100" s="9">
        <f>$AF$103</f>
        <v>-1.2621607673533819</v>
      </c>
      <c r="I100" s="9">
        <f>$AG$103</f>
        <v>-1.72454277947209</v>
      </c>
      <c r="J100" s="9">
        <f>$AH$103</f>
        <v>0.52264503827326714</v>
      </c>
      <c r="K100" s="9">
        <f>$AI$103</f>
        <v>7.5304332629987397E-2</v>
      </c>
      <c r="L100" s="9">
        <f>$AJ$103</f>
        <v>-7.3081042851698697E-2</v>
      </c>
      <c r="M100" s="1"/>
      <c r="O100" s="27">
        <v>84</v>
      </c>
      <c r="P100" s="28" t="s">
        <v>121</v>
      </c>
      <c r="Q100" s="27">
        <v>4</v>
      </c>
      <c r="R100" s="27">
        <v>4</v>
      </c>
      <c r="S100" s="29">
        <v>-0.74419202851656929</v>
      </c>
      <c r="T100" s="29">
        <v>-1.4328998276458209</v>
      </c>
      <c r="U100" s="29">
        <v>-1.773004776621806</v>
      </c>
      <c r="V100" s="29">
        <v>0.89399479625396294</v>
      </c>
      <c r="W100" s="29">
        <v>0.54595641156740826</v>
      </c>
      <c r="X100" s="29">
        <v>-0.24050611238594569</v>
      </c>
      <c r="Z100" s="27">
        <v>84</v>
      </c>
      <c r="AA100" s="27">
        <v>84</v>
      </c>
      <c r="AB100" s="28" t="str">
        <f>$P$100</f>
        <v>S084</v>
      </c>
      <c r="AC100" s="27">
        <f>$Q$100</f>
        <v>4</v>
      </c>
      <c r="AD100" s="27">
        <f>$R$100</f>
        <v>4</v>
      </c>
      <c r="AE100" s="29">
        <f>$S$100</f>
        <v>-0.74419202851656929</v>
      </c>
      <c r="AF100" s="29">
        <f>$T$100</f>
        <v>-1.4328998276458209</v>
      </c>
      <c r="AG100" s="29">
        <f>$U$100</f>
        <v>-1.773004776621806</v>
      </c>
      <c r="AH100" s="29">
        <f>$V$100</f>
        <v>0.89399479625396294</v>
      </c>
      <c r="AI100" s="29">
        <f>$W$100</f>
        <v>0.54595641156740826</v>
      </c>
      <c r="AJ100" s="29">
        <f>$X$100</f>
        <v>-0.24050611238594569</v>
      </c>
      <c r="AK100" s="29">
        <f t="shared" si="2"/>
        <v>16.5</v>
      </c>
    </row>
    <row r="101" spans="1:37" ht="7.5" customHeight="1" x14ac:dyDescent="0.25">
      <c r="A101" s="1"/>
      <c r="B101" s="1"/>
      <c r="C101" s="7" t="str">
        <f>$AB$104</f>
        <v>S088</v>
      </c>
      <c r="D101" s="8">
        <f>$AC$104</f>
        <v>4</v>
      </c>
      <c r="E101" s="8">
        <f>$AD$104</f>
        <v>12</v>
      </c>
      <c r="F101" s="1"/>
      <c r="G101" s="9">
        <f>$AE$104</f>
        <v>-1.0956818436972511</v>
      </c>
      <c r="H101" s="9">
        <f>$AF$104</f>
        <v>-1.2621607673533819</v>
      </c>
      <c r="I101" s="9">
        <f>$AG$104</f>
        <v>-1.72454277947209</v>
      </c>
      <c r="J101" s="9">
        <f>$AH$104</f>
        <v>0.52264503827326714</v>
      </c>
      <c r="K101" s="9">
        <f>$AI$104</f>
        <v>7.5304332629987397E-2</v>
      </c>
      <c r="L101" s="9">
        <f>$AJ$104</f>
        <v>0.93146937435378296</v>
      </c>
      <c r="M101" s="1"/>
      <c r="O101" s="27">
        <v>85</v>
      </c>
      <c r="P101" s="28" t="s">
        <v>122</v>
      </c>
      <c r="Q101" s="27">
        <v>4</v>
      </c>
      <c r="R101" s="27">
        <v>4</v>
      </c>
      <c r="S101" s="29">
        <v>-0.74419202851656929</v>
      </c>
      <c r="T101" s="29">
        <v>-1.4328998276458209</v>
      </c>
      <c r="U101" s="29">
        <v>-1.773004776621806</v>
      </c>
      <c r="V101" s="29">
        <v>0.89399479625396294</v>
      </c>
      <c r="W101" s="29">
        <v>0.54595641156740826</v>
      </c>
      <c r="X101" s="29">
        <v>-0.24050611238594569</v>
      </c>
      <c r="Z101" s="27">
        <v>85</v>
      </c>
      <c r="AA101" s="27">
        <v>85</v>
      </c>
      <c r="AB101" s="28" t="str">
        <f>$P$101</f>
        <v>S085</v>
      </c>
      <c r="AC101" s="27">
        <f>$Q$101</f>
        <v>4</v>
      </c>
      <c r="AD101" s="27">
        <f>$R$101</f>
        <v>4</v>
      </c>
      <c r="AE101" s="29">
        <f>$S$101</f>
        <v>-0.74419202851656929</v>
      </c>
      <c r="AF101" s="29">
        <f>$T$101</f>
        <v>-1.4328998276458209</v>
      </c>
      <c r="AG101" s="29">
        <f>$U$101</f>
        <v>-1.773004776621806</v>
      </c>
      <c r="AH101" s="29">
        <f>$V$101</f>
        <v>0.89399479625396294</v>
      </c>
      <c r="AI101" s="29">
        <f>$W$101</f>
        <v>0.54595641156740826</v>
      </c>
      <c r="AJ101" s="29">
        <f>$X$101</f>
        <v>-0.24050611238594569</v>
      </c>
      <c r="AK101" s="29">
        <f t="shared" si="2"/>
        <v>15.5</v>
      </c>
    </row>
    <row r="102" spans="1:37" ht="7.5" customHeight="1" x14ac:dyDescent="0.25">
      <c r="A102" s="1"/>
      <c r="B102" s="1"/>
      <c r="C102" s="7" t="str">
        <f>$AB$105</f>
        <v>S089</v>
      </c>
      <c r="D102" s="8">
        <f>$AC$105</f>
        <v>4</v>
      </c>
      <c r="E102" s="8">
        <f>$AD$105</f>
        <v>4</v>
      </c>
      <c r="F102" s="1"/>
      <c r="G102" s="9">
        <f>$AE$105</f>
        <v>-0.74419202851656929</v>
      </c>
      <c r="H102" s="9">
        <f>$AF$105</f>
        <v>-1.4328998276458209</v>
      </c>
      <c r="I102" s="9">
        <f>$AG$105</f>
        <v>-1.773004776621806</v>
      </c>
      <c r="J102" s="9">
        <f>$AH$105</f>
        <v>0.89399479625396294</v>
      </c>
      <c r="K102" s="9">
        <f>$AI$105</f>
        <v>1.48726056944225</v>
      </c>
      <c r="L102" s="9">
        <f>$AJ$105</f>
        <v>0.68033177005241252</v>
      </c>
      <c r="M102" s="1"/>
      <c r="O102" s="27">
        <v>86</v>
      </c>
      <c r="P102" s="28" t="s">
        <v>123</v>
      </c>
      <c r="Q102" s="27">
        <v>4</v>
      </c>
      <c r="R102" s="27">
        <v>12</v>
      </c>
      <c r="S102" s="29">
        <v>-1.0956818436972511</v>
      </c>
      <c r="T102" s="29">
        <v>-1.2621607673533819</v>
      </c>
      <c r="U102" s="29">
        <v>-1.72454277947209</v>
      </c>
      <c r="V102" s="29">
        <v>0.52264503827326714</v>
      </c>
      <c r="W102" s="29">
        <v>7.5304332629987397E-2</v>
      </c>
      <c r="X102" s="29">
        <v>-0.57535625145443958</v>
      </c>
      <c r="Z102" s="27">
        <v>86</v>
      </c>
      <c r="AA102" s="27">
        <v>86</v>
      </c>
      <c r="AB102" s="28" t="str">
        <f>$P$102</f>
        <v>S086</v>
      </c>
      <c r="AC102" s="27">
        <f>$Q$102</f>
        <v>4</v>
      </c>
      <c r="AD102" s="27">
        <f>$R$102</f>
        <v>12</v>
      </c>
      <c r="AE102" s="29">
        <f>$S$102</f>
        <v>-1.0956818436972511</v>
      </c>
      <c r="AF102" s="29">
        <f>$T$102</f>
        <v>-1.2621607673533819</v>
      </c>
      <c r="AG102" s="29">
        <f>$U$102</f>
        <v>-1.72454277947209</v>
      </c>
      <c r="AH102" s="29">
        <f>$V$102</f>
        <v>0.52264503827326714</v>
      </c>
      <c r="AI102" s="29">
        <f>$W$102</f>
        <v>7.5304332629987397E-2</v>
      </c>
      <c r="AJ102" s="29">
        <f>$X$102</f>
        <v>-0.57535625145443958</v>
      </c>
      <c r="AK102" s="29">
        <f t="shared" si="2"/>
        <v>14.5</v>
      </c>
    </row>
    <row r="103" spans="1:37" ht="7.5" customHeight="1" x14ac:dyDescent="0.25">
      <c r="A103" s="1"/>
      <c r="B103" s="1"/>
      <c r="C103" s="7" t="str">
        <f>$AB$106</f>
        <v>S090</v>
      </c>
      <c r="D103" s="8">
        <f>$AC$106</f>
        <v>4</v>
      </c>
      <c r="E103" s="8">
        <f>$AD$106</f>
        <v>12</v>
      </c>
      <c r="F103" s="1"/>
      <c r="G103" s="9">
        <f>$AE$106</f>
        <v>-1.0956818436972511</v>
      </c>
      <c r="H103" s="9">
        <f>$AF$106</f>
        <v>-1.2621607673533819</v>
      </c>
      <c r="I103" s="9">
        <f>$AG$106</f>
        <v>-1.72454277947209</v>
      </c>
      <c r="J103" s="9">
        <f>$AH$106</f>
        <v>0.52264503827326714</v>
      </c>
      <c r="K103" s="9">
        <f>$AI$106</f>
        <v>1.48726056944225</v>
      </c>
      <c r="L103" s="9">
        <f>$AJ$106</f>
        <v>0.68033177005241252</v>
      </c>
      <c r="M103" s="1"/>
      <c r="O103" s="27">
        <v>87</v>
      </c>
      <c r="P103" s="28" t="s">
        <v>124</v>
      </c>
      <c r="Q103" s="27">
        <v>4</v>
      </c>
      <c r="R103" s="27">
        <v>12</v>
      </c>
      <c r="S103" s="29">
        <v>-1.0956818436972511</v>
      </c>
      <c r="T103" s="29">
        <v>-1.2621607673533819</v>
      </c>
      <c r="U103" s="29">
        <v>-1.72454277947209</v>
      </c>
      <c r="V103" s="29">
        <v>0.52264503827326714</v>
      </c>
      <c r="W103" s="29">
        <v>7.5304332629987397E-2</v>
      </c>
      <c r="X103" s="29">
        <v>-7.3081042851698697E-2</v>
      </c>
      <c r="Z103" s="27">
        <v>87</v>
      </c>
      <c r="AA103" s="27">
        <v>87</v>
      </c>
      <c r="AB103" s="28" t="str">
        <f>$P$103</f>
        <v>S087</v>
      </c>
      <c r="AC103" s="27">
        <f>$Q$103</f>
        <v>4</v>
      </c>
      <c r="AD103" s="27">
        <f>$R$103</f>
        <v>12</v>
      </c>
      <c r="AE103" s="29">
        <f>$S$103</f>
        <v>-1.0956818436972511</v>
      </c>
      <c r="AF103" s="29">
        <f>$T$103</f>
        <v>-1.2621607673533819</v>
      </c>
      <c r="AG103" s="29">
        <f>$U$103</f>
        <v>-1.72454277947209</v>
      </c>
      <c r="AH103" s="29">
        <f>$V$103</f>
        <v>0.52264503827326714</v>
      </c>
      <c r="AI103" s="29">
        <f>$W$103</f>
        <v>7.5304332629987397E-2</v>
      </c>
      <c r="AJ103" s="29">
        <f>$X$103</f>
        <v>-7.3081042851698697E-2</v>
      </c>
      <c r="AK103" s="29">
        <f t="shared" si="2"/>
        <v>13.5</v>
      </c>
    </row>
    <row r="104" spans="1:37" ht="7.5" customHeight="1" x14ac:dyDescent="0.25">
      <c r="A104" s="1"/>
      <c r="B104" s="1"/>
      <c r="C104" s="7" t="str">
        <f>$AB$107</f>
        <v>S091</v>
      </c>
      <c r="D104" s="8">
        <f>$AC$107</f>
        <v>1</v>
      </c>
      <c r="E104" s="8">
        <f>$AD$107</f>
        <v>4</v>
      </c>
      <c r="F104" s="1"/>
      <c r="G104" s="9">
        <f>$AE$107</f>
        <v>-1.8689594370947511</v>
      </c>
      <c r="H104" s="9">
        <f>$AF$107</f>
        <v>-2.2012255989617939</v>
      </c>
      <c r="I104" s="9">
        <f>$AG$107</f>
        <v>-0.951955311007885</v>
      </c>
      <c r="J104" s="9">
        <f>$AH$107</f>
        <v>0.42980759877809249</v>
      </c>
      <c r="K104" s="9">
        <f>$AI$107</f>
        <v>1.9579126483796709</v>
      </c>
      <c r="L104" s="9">
        <f>$AJ$107</f>
        <v>-0.57535625145443958</v>
      </c>
      <c r="M104" s="1"/>
      <c r="O104" s="27">
        <v>88</v>
      </c>
      <c r="P104" s="28" t="s">
        <v>125</v>
      </c>
      <c r="Q104" s="27">
        <v>4</v>
      </c>
      <c r="R104" s="27">
        <v>12</v>
      </c>
      <c r="S104" s="29">
        <v>-1.0956818436972511</v>
      </c>
      <c r="T104" s="29">
        <v>-1.2621607673533819</v>
      </c>
      <c r="U104" s="29">
        <v>-1.72454277947209</v>
      </c>
      <c r="V104" s="29">
        <v>0.52264503827326714</v>
      </c>
      <c r="W104" s="29">
        <v>7.5304332629987397E-2</v>
      </c>
      <c r="X104" s="29">
        <v>0.93146937435378296</v>
      </c>
      <c r="Z104" s="27">
        <v>88</v>
      </c>
      <c r="AA104" s="27">
        <v>88</v>
      </c>
      <c r="AB104" s="28" t="str">
        <f>$P$104</f>
        <v>S088</v>
      </c>
      <c r="AC104" s="27">
        <f>$Q$104</f>
        <v>4</v>
      </c>
      <c r="AD104" s="27">
        <f>$R$104</f>
        <v>12</v>
      </c>
      <c r="AE104" s="29">
        <f>$S$104</f>
        <v>-1.0956818436972511</v>
      </c>
      <c r="AF104" s="29">
        <f>$T$104</f>
        <v>-1.2621607673533819</v>
      </c>
      <c r="AG104" s="29">
        <f>$U$104</f>
        <v>-1.72454277947209</v>
      </c>
      <c r="AH104" s="29">
        <f>$V$104</f>
        <v>0.52264503827326714</v>
      </c>
      <c r="AI104" s="29">
        <f>$W$104</f>
        <v>7.5304332629987397E-2</v>
      </c>
      <c r="AJ104" s="29">
        <f>$X$104</f>
        <v>0.93146937435378296</v>
      </c>
      <c r="AK104" s="29">
        <f t="shared" si="2"/>
        <v>12.5</v>
      </c>
    </row>
    <row r="105" spans="1:37" ht="7.5" customHeight="1" x14ac:dyDescent="0.25">
      <c r="A105" s="1"/>
      <c r="B105" s="1"/>
      <c r="C105" s="7" t="str">
        <f>$AB$108</f>
        <v>S092</v>
      </c>
      <c r="D105" s="8">
        <f>$AC$108</f>
        <v>1</v>
      </c>
      <c r="E105" s="8">
        <f>$AD$108</f>
        <v>12</v>
      </c>
      <c r="F105" s="1"/>
      <c r="G105" s="9">
        <f>$AE$108</f>
        <v>-1.658065547986342</v>
      </c>
      <c r="H105" s="9">
        <f>$AF$108</f>
        <v>-1.5182693577920401</v>
      </c>
      <c r="I105" s="9">
        <f>$AG$108</f>
        <v>-1.164243826066107</v>
      </c>
      <c r="J105" s="9">
        <f>$AH$108</f>
        <v>-0.40572935667847371</v>
      </c>
      <c r="K105" s="9">
        <f>$AI$108</f>
        <v>1.48726056944225</v>
      </c>
      <c r="L105" s="9">
        <f>$AJ$108</f>
        <v>-0.57535625145443958</v>
      </c>
      <c r="M105" s="1"/>
      <c r="O105" s="27">
        <v>89</v>
      </c>
      <c r="P105" s="28" t="s">
        <v>126</v>
      </c>
      <c r="Q105" s="27">
        <v>4</v>
      </c>
      <c r="R105" s="27">
        <v>4</v>
      </c>
      <c r="S105" s="29">
        <v>-0.74419202851656929</v>
      </c>
      <c r="T105" s="29">
        <v>-1.4328998276458209</v>
      </c>
      <c r="U105" s="29">
        <v>-1.773004776621806</v>
      </c>
      <c r="V105" s="29">
        <v>0.89399479625396294</v>
      </c>
      <c r="W105" s="29">
        <v>1.48726056944225</v>
      </c>
      <c r="X105" s="29">
        <v>0.68033177005241252</v>
      </c>
      <c r="Z105" s="27">
        <v>89</v>
      </c>
      <c r="AA105" s="27">
        <v>89</v>
      </c>
      <c r="AB105" s="28" t="str">
        <f>$P$105</f>
        <v>S089</v>
      </c>
      <c r="AC105" s="27">
        <f>$Q$105</f>
        <v>4</v>
      </c>
      <c r="AD105" s="27">
        <f>$R$105</f>
        <v>4</v>
      </c>
      <c r="AE105" s="29">
        <f>$S$105</f>
        <v>-0.74419202851656929</v>
      </c>
      <c r="AF105" s="29">
        <f>$T$105</f>
        <v>-1.4328998276458209</v>
      </c>
      <c r="AG105" s="29">
        <f>$U$105</f>
        <v>-1.773004776621806</v>
      </c>
      <c r="AH105" s="29">
        <f>$V$105</f>
        <v>0.89399479625396294</v>
      </c>
      <c r="AI105" s="29">
        <f>$W$105</f>
        <v>1.48726056944225</v>
      </c>
      <c r="AJ105" s="29">
        <f>$X$105</f>
        <v>0.68033177005241252</v>
      </c>
      <c r="AK105" s="29">
        <f t="shared" si="2"/>
        <v>11.5</v>
      </c>
    </row>
    <row r="106" spans="1:37" ht="7.5" customHeight="1" x14ac:dyDescent="0.25">
      <c r="A106" s="1"/>
      <c r="B106" s="1"/>
      <c r="C106" s="7" t="str">
        <f>$AB$109</f>
        <v>S097</v>
      </c>
      <c r="D106" s="8">
        <f>$AC$109</f>
        <v>1</v>
      </c>
      <c r="E106" s="8">
        <f>$AD$109</f>
        <v>12</v>
      </c>
      <c r="F106" s="1"/>
      <c r="G106" s="9">
        <f>$AE$109</f>
        <v>-1.658065547986342</v>
      </c>
      <c r="H106" s="9">
        <f>$AF$109</f>
        <v>-1.5182693577920401</v>
      </c>
      <c r="I106" s="9">
        <f>$AG$109</f>
        <v>-1.164243826066107</v>
      </c>
      <c r="J106" s="9">
        <f>$AH$109</f>
        <v>-0.40572935667847371</v>
      </c>
      <c r="K106" s="9">
        <f>$AI$109</f>
        <v>0.54595641156740826</v>
      </c>
      <c r="L106" s="9">
        <f>$AJ$109</f>
        <v>-0.57535625145443958</v>
      </c>
      <c r="M106" s="1"/>
      <c r="O106" s="27">
        <v>90</v>
      </c>
      <c r="P106" s="28" t="s">
        <v>127</v>
      </c>
      <c r="Q106" s="27">
        <v>4</v>
      </c>
      <c r="R106" s="27">
        <v>12</v>
      </c>
      <c r="S106" s="29">
        <v>-1.0956818436972511</v>
      </c>
      <c r="T106" s="29">
        <v>-1.2621607673533819</v>
      </c>
      <c r="U106" s="29">
        <v>-1.72454277947209</v>
      </c>
      <c r="V106" s="29">
        <v>0.52264503827326714</v>
      </c>
      <c r="W106" s="29">
        <v>1.48726056944225</v>
      </c>
      <c r="X106" s="29">
        <v>0.68033177005241252</v>
      </c>
      <c r="Z106" s="27">
        <v>90</v>
      </c>
      <c r="AA106" s="27">
        <v>90</v>
      </c>
      <c r="AB106" s="28" t="str">
        <f>$P$106</f>
        <v>S090</v>
      </c>
      <c r="AC106" s="27">
        <f>$Q$106</f>
        <v>4</v>
      </c>
      <c r="AD106" s="27">
        <f>$R$106</f>
        <v>12</v>
      </c>
      <c r="AE106" s="29">
        <f>$S$106</f>
        <v>-1.0956818436972511</v>
      </c>
      <c r="AF106" s="29">
        <f>$T$106</f>
        <v>-1.2621607673533819</v>
      </c>
      <c r="AG106" s="29">
        <f>$U$106</f>
        <v>-1.72454277947209</v>
      </c>
      <c r="AH106" s="29">
        <f>$V$106</f>
        <v>0.52264503827326714</v>
      </c>
      <c r="AI106" s="29">
        <f>$W$106</f>
        <v>1.48726056944225</v>
      </c>
      <c r="AJ106" s="29">
        <f>$X$106</f>
        <v>0.68033177005241252</v>
      </c>
      <c r="AK106" s="29">
        <f t="shared" si="2"/>
        <v>10.5</v>
      </c>
    </row>
    <row r="107" spans="1:37" ht="7.5" customHeight="1" x14ac:dyDescent="0.25">
      <c r="A107" s="1"/>
      <c r="B107" s="1"/>
      <c r="C107" s="7" t="str">
        <f>$AB$110</f>
        <v>S098</v>
      </c>
      <c r="D107" s="8">
        <f>$AC$110</f>
        <v>1</v>
      </c>
      <c r="E107" s="8">
        <f>$AD$110</f>
        <v>12</v>
      </c>
      <c r="F107" s="1"/>
      <c r="G107" s="9">
        <f>$AE$110</f>
        <v>-1.658065547986342</v>
      </c>
      <c r="H107" s="9">
        <f>$AF$110</f>
        <v>-1.5182693577920401</v>
      </c>
      <c r="I107" s="9">
        <f>$AG$110</f>
        <v>-1.164243826066107</v>
      </c>
      <c r="J107" s="9">
        <f>$AH$110</f>
        <v>-0.40572935667847371</v>
      </c>
      <c r="K107" s="9">
        <f>$AI$110</f>
        <v>-0.39534774630743341</v>
      </c>
      <c r="L107" s="9">
        <f>$AJ$110</f>
        <v>-0.57535625145443958</v>
      </c>
      <c r="M107" s="1"/>
      <c r="O107" s="27">
        <v>91</v>
      </c>
      <c r="P107" s="28" t="s">
        <v>128</v>
      </c>
      <c r="Q107" s="27">
        <v>1</v>
      </c>
      <c r="R107" s="27">
        <v>4</v>
      </c>
      <c r="S107" s="29">
        <v>-1.8689594370947511</v>
      </c>
      <c r="T107" s="29">
        <v>-2.2012255989617939</v>
      </c>
      <c r="U107" s="29">
        <v>-0.951955311007885</v>
      </c>
      <c r="V107" s="29">
        <v>0.42980759877809249</v>
      </c>
      <c r="W107" s="29">
        <v>1.9579126483796709</v>
      </c>
      <c r="X107" s="29">
        <v>-0.57535625145443958</v>
      </c>
      <c r="Z107" s="27">
        <v>91</v>
      </c>
      <c r="AA107" s="27">
        <v>91</v>
      </c>
      <c r="AB107" s="28" t="str">
        <f>$P$107</f>
        <v>S091</v>
      </c>
      <c r="AC107" s="27">
        <f>$Q$107</f>
        <v>1</v>
      </c>
      <c r="AD107" s="27">
        <f>$R$107</f>
        <v>4</v>
      </c>
      <c r="AE107" s="29">
        <f>$S$107</f>
        <v>-1.8689594370947511</v>
      </c>
      <c r="AF107" s="29">
        <f>$T$107</f>
        <v>-2.2012255989617939</v>
      </c>
      <c r="AG107" s="29">
        <f>$U$107</f>
        <v>-0.951955311007885</v>
      </c>
      <c r="AH107" s="29">
        <f>$V$107</f>
        <v>0.42980759877809249</v>
      </c>
      <c r="AI107" s="29">
        <f>$W$107</f>
        <v>1.9579126483796709</v>
      </c>
      <c r="AJ107" s="29">
        <f>$X$107</f>
        <v>-0.57535625145443958</v>
      </c>
      <c r="AK107" s="29">
        <f t="shared" si="2"/>
        <v>9.5</v>
      </c>
    </row>
    <row r="108" spans="1:37" ht="7.5" customHeight="1" x14ac:dyDescent="0.25">
      <c r="A108" s="1"/>
      <c r="B108" s="1"/>
      <c r="C108" s="7" t="str">
        <f>$AB$111</f>
        <v>S099</v>
      </c>
      <c r="D108" s="8">
        <f>$AC$111</f>
        <v>1</v>
      </c>
      <c r="E108" s="8">
        <f>$AD$111</f>
        <v>12</v>
      </c>
      <c r="F108" s="1"/>
      <c r="G108" s="9">
        <f>$AE$111</f>
        <v>-1.658065547986342</v>
      </c>
      <c r="H108" s="9">
        <f>$AF$111</f>
        <v>-1.5182693577920401</v>
      </c>
      <c r="I108" s="9">
        <f>$AG$111</f>
        <v>-1.164243826066107</v>
      </c>
      <c r="J108" s="9">
        <f>$AH$111</f>
        <v>-0.40572935667847371</v>
      </c>
      <c r="K108" s="9">
        <f>$AI$111</f>
        <v>7.5304332629987397E-2</v>
      </c>
      <c r="L108" s="9">
        <f>$AJ$111</f>
        <v>-0.57535625145443958</v>
      </c>
      <c r="M108" s="1"/>
      <c r="O108" s="27">
        <v>92</v>
      </c>
      <c r="P108" s="28" t="s">
        <v>129</v>
      </c>
      <c r="Q108" s="27">
        <v>1</v>
      </c>
      <c r="R108" s="27">
        <v>12</v>
      </c>
      <c r="S108" s="29">
        <v>-1.658065547986342</v>
      </c>
      <c r="T108" s="29">
        <v>-1.5182693577920401</v>
      </c>
      <c r="U108" s="29">
        <v>-1.164243826066107</v>
      </c>
      <c r="V108" s="29">
        <v>-0.40572935667847371</v>
      </c>
      <c r="W108" s="29">
        <v>1.48726056944225</v>
      </c>
      <c r="X108" s="29">
        <v>-0.57535625145443958</v>
      </c>
      <c r="Z108" s="27">
        <v>92</v>
      </c>
      <c r="AA108" s="27">
        <v>92</v>
      </c>
      <c r="AB108" s="28" t="str">
        <f>$P$108</f>
        <v>S092</v>
      </c>
      <c r="AC108" s="27">
        <f>$Q$108</f>
        <v>1</v>
      </c>
      <c r="AD108" s="27">
        <f>$R$108</f>
        <v>12</v>
      </c>
      <c r="AE108" s="29">
        <f>$S$108</f>
        <v>-1.658065547986342</v>
      </c>
      <c r="AF108" s="29">
        <f>$T$108</f>
        <v>-1.5182693577920401</v>
      </c>
      <c r="AG108" s="29">
        <f>$U$108</f>
        <v>-1.164243826066107</v>
      </c>
      <c r="AH108" s="29">
        <f>$V$108</f>
        <v>-0.40572935667847371</v>
      </c>
      <c r="AI108" s="29">
        <f>$W$108</f>
        <v>1.48726056944225</v>
      </c>
      <c r="AJ108" s="29">
        <f>$X$108</f>
        <v>-0.57535625145443958</v>
      </c>
      <c r="AK108" s="29">
        <f t="shared" si="2"/>
        <v>8.5</v>
      </c>
    </row>
    <row r="109" spans="1:37" ht="7.5" customHeight="1" x14ac:dyDescent="0.25">
      <c r="A109" s="1"/>
      <c r="B109" s="1"/>
      <c r="C109" s="7" t="str">
        <f>$AB$112</f>
        <v>S100</v>
      </c>
      <c r="D109" s="8">
        <f>$AC$112</f>
        <v>1</v>
      </c>
      <c r="E109" s="8">
        <f>$AD$112</f>
        <v>12</v>
      </c>
      <c r="F109" s="1"/>
      <c r="G109" s="9">
        <f>$AE$112</f>
        <v>-1.658065547986342</v>
      </c>
      <c r="H109" s="9">
        <f>$AF$112</f>
        <v>-1.5182693577920401</v>
      </c>
      <c r="I109" s="9">
        <f>$AG$112</f>
        <v>-1.164243826066107</v>
      </c>
      <c r="J109" s="9">
        <f>$AH$112</f>
        <v>-0.40572935667847371</v>
      </c>
      <c r="K109" s="9">
        <f>$AI$112</f>
        <v>7.5304332629987397E-2</v>
      </c>
      <c r="L109" s="9">
        <f>$AJ$112</f>
        <v>-0.57535625145443958</v>
      </c>
      <c r="M109" s="1"/>
      <c r="O109" s="27">
        <v>93</v>
      </c>
      <c r="P109" s="28" t="s">
        <v>130</v>
      </c>
      <c r="Q109" s="27">
        <v>1</v>
      </c>
      <c r="R109" s="27">
        <v>4</v>
      </c>
      <c r="S109" s="29">
        <v>-1.8689594370947511</v>
      </c>
      <c r="T109" s="29">
        <v>-2.2012255989617939</v>
      </c>
      <c r="U109" s="29">
        <v>-0.951955311007885</v>
      </c>
      <c r="V109" s="29">
        <v>0.42980759877809249</v>
      </c>
      <c r="W109" s="29">
        <v>-0.39534774630743341</v>
      </c>
      <c r="X109" s="29">
        <v>-0.57535625145443958</v>
      </c>
      <c r="Z109" s="27">
        <v>93</v>
      </c>
      <c r="AA109" s="27">
        <v>97</v>
      </c>
      <c r="AB109" s="28" t="str">
        <f>$P$113</f>
        <v>S097</v>
      </c>
      <c r="AC109" s="27">
        <f>$Q$113</f>
        <v>1</v>
      </c>
      <c r="AD109" s="27">
        <f>$R$113</f>
        <v>12</v>
      </c>
      <c r="AE109" s="29">
        <f>$S$113</f>
        <v>-1.658065547986342</v>
      </c>
      <c r="AF109" s="29">
        <f>$T$113</f>
        <v>-1.5182693577920401</v>
      </c>
      <c r="AG109" s="29">
        <f>$U$113</f>
        <v>-1.164243826066107</v>
      </c>
      <c r="AH109" s="29">
        <f>$V$113</f>
        <v>-0.40572935667847371</v>
      </c>
      <c r="AI109" s="29">
        <f>$W$113</f>
        <v>0.54595641156740826</v>
      </c>
      <c r="AJ109" s="29">
        <f>$X$113</f>
        <v>-0.57535625145443958</v>
      </c>
      <c r="AK109" s="29">
        <f t="shared" si="2"/>
        <v>7.5</v>
      </c>
    </row>
    <row r="110" spans="1:37" ht="7.5" customHeight="1" x14ac:dyDescent="0.25">
      <c r="A110" s="1"/>
      <c r="B110" s="1"/>
      <c r="C110" s="7" t="str">
        <f>$AB$113</f>
        <v>S094</v>
      </c>
      <c r="D110" s="8">
        <f>$AC$113</f>
        <v>1</v>
      </c>
      <c r="E110" s="8">
        <f>$AD$113</f>
        <v>4</v>
      </c>
      <c r="F110" s="1"/>
      <c r="G110" s="9">
        <f>$AE$113</f>
        <v>-1.8689594370947511</v>
      </c>
      <c r="H110" s="9">
        <f>$AF$113</f>
        <v>-2.2012255989617939</v>
      </c>
      <c r="I110" s="9">
        <f>$AG$113</f>
        <v>-0.951955311007885</v>
      </c>
      <c r="J110" s="9">
        <f>$AH$113</f>
        <v>0.42980759877809249</v>
      </c>
      <c r="K110" s="9">
        <f>$AI$113</f>
        <v>0.54595641156740826</v>
      </c>
      <c r="L110" s="9">
        <f>$AJ$113</f>
        <v>-0.57535625145443958</v>
      </c>
      <c r="M110" s="1"/>
      <c r="O110" s="27">
        <v>94</v>
      </c>
      <c r="P110" s="28" t="s">
        <v>131</v>
      </c>
      <c r="Q110" s="27">
        <v>1</v>
      </c>
      <c r="R110" s="27">
        <v>4</v>
      </c>
      <c r="S110" s="29">
        <v>-1.8689594370947511</v>
      </c>
      <c r="T110" s="29">
        <v>-2.2012255989617939</v>
      </c>
      <c r="U110" s="29">
        <v>-0.951955311007885</v>
      </c>
      <c r="V110" s="29">
        <v>0.42980759877809249</v>
      </c>
      <c r="W110" s="29">
        <v>0.54595641156740826</v>
      </c>
      <c r="X110" s="29">
        <v>-0.57535625145443958</v>
      </c>
      <c r="Z110" s="27">
        <v>94</v>
      </c>
      <c r="AA110" s="27">
        <v>98</v>
      </c>
      <c r="AB110" s="28" t="str">
        <f>$P$114</f>
        <v>S098</v>
      </c>
      <c r="AC110" s="27">
        <f>$Q$114</f>
        <v>1</v>
      </c>
      <c r="AD110" s="27">
        <f>$R$114</f>
        <v>12</v>
      </c>
      <c r="AE110" s="29">
        <f>$S$114</f>
        <v>-1.658065547986342</v>
      </c>
      <c r="AF110" s="29">
        <f>$T$114</f>
        <v>-1.5182693577920401</v>
      </c>
      <c r="AG110" s="29">
        <f>$U$114</f>
        <v>-1.164243826066107</v>
      </c>
      <c r="AH110" s="29">
        <f>$V$114</f>
        <v>-0.40572935667847371</v>
      </c>
      <c r="AI110" s="29">
        <f>$W$114</f>
        <v>-0.39534774630743341</v>
      </c>
      <c r="AJ110" s="29">
        <f>$X$114</f>
        <v>-0.57535625145443958</v>
      </c>
      <c r="AK110" s="29">
        <f t="shared" si="2"/>
        <v>6.5</v>
      </c>
    </row>
    <row r="111" spans="1:37" ht="7.5" customHeight="1" x14ac:dyDescent="0.25">
      <c r="A111" s="1"/>
      <c r="B111" s="1"/>
      <c r="C111" s="7" t="str">
        <f>$AB$114</f>
        <v>S093</v>
      </c>
      <c r="D111" s="8">
        <f>$AC$114</f>
        <v>1</v>
      </c>
      <c r="E111" s="8">
        <f>$AD$114</f>
        <v>4</v>
      </c>
      <c r="F111" s="1"/>
      <c r="G111" s="9">
        <f>$AE$114</f>
        <v>-1.8689594370947511</v>
      </c>
      <c r="H111" s="9">
        <f>$AF$114</f>
        <v>-2.2012255989617939</v>
      </c>
      <c r="I111" s="9">
        <f>$AG$114</f>
        <v>-0.951955311007885</v>
      </c>
      <c r="J111" s="9">
        <f>$AH$114</f>
        <v>0.42980759877809249</v>
      </c>
      <c r="K111" s="9">
        <f>$AI$114</f>
        <v>-0.39534774630743341</v>
      </c>
      <c r="L111" s="9">
        <f>$AJ$114</f>
        <v>-0.57535625145443958</v>
      </c>
      <c r="M111" s="1"/>
      <c r="O111" s="27">
        <v>95</v>
      </c>
      <c r="P111" s="28" t="s">
        <v>132</v>
      </c>
      <c r="Q111" s="27">
        <v>1</v>
      </c>
      <c r="R111" s="27">
        <v>4</v>
      </c>
      <c r="S111" s="29">
        <v>-1.8689594370947511</v>
      </c>
      <c r="T111" s="29">
        <v>-2.2012255989617939</v>
      </c>
      <c r="U111" s="29">
        <v>-0.951955311007885</v>
      </c>
      <c r="V111" s="29">
        <v>0.42980759877809249</v>
      </c>
      <c r="W111" s="29">
        <v>7.5304332629987397E-2</v>
      </c>
      <c r="X111" s="29">
        <v>-0.57535625145443958</v>
      </c>
      <c r="Z111" s="27">
        <v>95</v>
      </c>
      <c r="AA111" s="27">
        <v>99</v>
      </c>
      <c r="AB111" s="28" t="str">
        <f>$P$115</f>
        <v>S099</v>
      </c>
      <c r="AC111" s="27">
        <f>$Q$115</f>
        <v>1</v>
      </c>
      <c r="AD111" s="27">
        <f>$R$115</f>
        <v>12</v>
      </c>
      <c r="AE111" s="29">
        <f>$S$115</f>
        <v>-1.658065547986342</v>
      </c>
      <c r="AF111" s="29">
        <f>$T$115</f>
        <v>-1.5182693577920401</v>
      </c>
      <c r="AG111" s="29">
        <f>$U$115</f>
        <v>-1.164243826066107</v>
      </c>
      <c r="AH111" s="29">
        <f>$V$115</f>
        <v>-0.40572935667847371</v>
      </c>
      <c r="AI111" s="29">
        <f>$W$115</f>
        <v>7.5304332629987397E-2</v>
      </c>
      <c r="AJ111" s="29">
        <f>$X$115</f>
        <v>-0.57535625145443958</v>
      </c>
      <c r="AK111" s="29">
        <f t="shared" si="2"/>
        <v>5.5</v>
      </c>
    </row>
    <row r="112" spans="1:37" ht="7.5" customHeight="1" x14ac:dyDescent="0.25">
      <c r="A112" s="1"/>
      <c r="B112" s="1"/>
      <c r="C112" s="7" t="str">
        <f>$AB$115</f>
        <v>S095</v>
      </c>
      <c r="D112" s="8">
        <f>$AC$115</f>
        <v>1</v>
      </c>
      <c r="E112" s="8">
        <f>$AD$115</f>
        <v>4</v>
      </c>
      <c r="F112" s="1"/>
      <c r="G112" s="9">
        <f>$AE$115</f>
        <v>-1.8689594370947511</v>
      </c>
      <c r="H112" s="9">
        <f>$AF$115</f>
        <v>-2.2012255989617939</v>
      </c>
      <c r="I112" s="9">
        <f>$AG$115</f>
        <v>-0.951955311007885</v>
      </c>
      <c r="J112" s="9">
        <f>$AH$115</f>
        <v>0.42980759877809249</v>
      </c>
      <c r="K112" s="9">
        <f>$AI$115</f>
        <v>7.5304332629987397E-2</v>
      </c>
      <c r="L112" s="9">
        <f>$AJ$115</f>
        <v>-0.57535625145443958</v>
      </c>
      <c r="M112" s="1"/>
      <c r="O112" s="27">
        <v>96</v>
      </c>
      <c r="P112" s="28" t="s">
        <v>133</v>
      </c>
      <c r="Q112" s="27">
        <v>1</v>
      </c>
      <c r="R112" s="27">
        <v>4</v>
      </c>
      <c r="S112" s="29">
        <v>-1.8689594370947511</v>
      </c>
      <c r="T112" s="29">
        <v>-2.2012255989617939</v>
      </c>
      <c r="U112" s="29">
        <v>-0.951955311007885</v>
      </c>
      <c r="V112" s="29">
        <v>0.42980759877809249</v>
      </c>
      <c r="W112" s="29">
        <v>7.5304332629987397E-2</v>
      </c>
      <c r="X112" s="29">
        <v>-0.57535625145443958</v>
      </c>
      <c r="Z112" s="27">
        <v>96</v>
      </c>
      <c r="AA112" s="27">
        <v>100</v>
      </c>
      <c r="AB112" s="28" t="str">
        <f>$P$116</f>
        <v>S100</v>
      </c>
      <c r="AC112" s="27">
        <f>$Q$116</f>
        <v>1</v>
      </c>
      <c r="AD112" s="27">
        <f>$R$116</f>
        <v>12</v>
      </c>
      <c r="AE112" s="29">
        <f>$S$116</f>
        <v>-1.658065547986342</v>
      </c>
      <c r="AF112" s="29">
        <f>$T$116</f>
        <v>-1.5182693577920401</v>
      </c>
      <c r="AG112" s="29">
        <f>$U$116</f>
        <v>-1.164243826066107</v>
      </c>
      <c r="AH112" s="29">
        <f>$V$116</f>
        <v>-0.40572935667847371</v>
      </c>
      <c r="AI112" s="29">
        <f>$W$116</f>
        <v>7.5304332629987397E-2</v>
      </c>
      <c r="AJ112" s="29">
        <f>$X$116</f>
        <v>-0.57535625145443958</v>
      </c>
      <c r="AK112" s="29">
        <f t="shared" si="2"/>
        <v>4.5</v>
      </c>
    </row>
    <row r="113" spans="1:37" ht="7.5" customHeight="1" x14ac:dyDescent="0.25">
      <c r="A113" s="1"/>
      <c r="B113" s="1"/>
      <c r="C113" s="7" t="str">
        <f>$AB$116</f>
        <v>S096</v>
      </c>
      <c r="D113" s="8">
        <f>$AC$116</f>
        <v>1</v>
      </c>
      <c r="E113" s="8">
        <f>$AD$116</f>
        <v>4</v>
      </c>
      <c r="F113" s="1"/>
      <c r="G113" s="9">
        <f>$AE$116</f>
        <v>-1.8689594370947511</v>
      </c>
      <c r="H113" s="9">
        <f>$AF$116</f>
        <v>-2.2012255989617939</v>
      </c>
      <c r="I113" s="9">
        <f>$AG$116</f>
        <v>-0.951955311007885</v>
      </c>
      <c r="J113" s="9">
        <f>$AH$116</f>
        <v>0.42980759877809249</v>
      </c>
      <c r="K113" s="9">
        <f>$AI$116</f>
        <v>7.5304332629987397E-2</v>
      </c>
      <c r="L113" s="9">
        <f>$AJ$116</f>
        <v>-0.57535625145443958</v>
      </c>
      <c r="M113" s="1"/>
      <c r="O113" s="27">
        <v>97</v>
      </c>
      <c r="P113" s="28" t="s">
        <v>134</v>
      </c>
      <c r="Q113" s="27">
        <v>1</v>
      </c>
      <c r="R113" s="27">
        <v>12</v>
      </c>
      <c r="S113" s="29">
        <v>-1.658065547986342</v>
      </c>
      <c r="T113" s="29">
        <v>-1.5182693577920401</v>
      </c>
      <c r="U113" s="29">
        <v>-1.164243826066107</v>
      </c>
      <c r="V113" s="29">
        <v>-0.40572935667847371</v>
      </c>
      <c r="W113" s="29">
        <v>0.54595641156740826</v>
      </c>
      <c r="X113" s="29">
        <v>-0.57535625145443958</v>
      </c>
      <c r="Z113" s="27">
        <v>97</v>
      </c>
      <c r="AA113" s="27">
        <v>94</v>
      </c>
      <c r="AB113" s="28" t="str">
        <f>$P$110</f>
        <v>S094</v>
      </c>
      <c r="AC113" s="27">
        <f>$Q$110</f>
        <v>1</v>
      </c>
      <c r="AD113" s="27">
        <f>$R$110</f>
        <v>4</v>
      </c>
      <c r="AE113" s="29">
        <f>$S$110</f>
        <v>-1.8689594370947511</v>
      </c>
      <c r="AF113" s="29">
        <f>$T$110</f>
        <v>-2.2012255989617939</v>
      </c>
      <c r="AG113" s="29">
        <f>$U$110</f>
        <v>-0.951955311007885</v>
      </c>
      <c r="AH113" s="29">
        <f>$V$110</f>
        <v>0.42980759877809249</v>
      </c>
      <c r="AI113" s="29">
        <f>$W$110</f>
        <v>0.54595641156740826</v>
      </c>
      <c r="AJ113" s="29">
        <f>$X$110</f>
        <v>-0.57535625145443958</v>
      </c>
      <c r="AK113" s="29">
        <f t="shared" si="2"/>
        <v>3.5</v>
      </c>
    </row>
    <row r="114" spans="1:37" ht="12" customHeight="1" x14ac:dyDescent="0.25">
      <c r="A114" s="1"/>
      <c r="B114" s="1"/>
      <c r="C114" s="1"/>
      <c r="D114" s="1"/>
      <c r="E114" s="1"/>
      <c r="F114" s="1"/>
      <c r="G114" s="1"/>
      <c r="H114" s="1"/>
      <c r="I114" s="1"/>
      <c r="J114" s="1"/>
      <c r="K114" s="1"/>
      <c r="L114" s="1"/>
      <c r="M114" s="1"/>
      <c r="O114" s="27">
        <v>98</v>
      </c>
      <c r="P114" s="28" t="s">
        <v>135</v>
      </c>
      <c r="Q114" s="27">
        <v>1</v>
      </c>
      <c r="R114" s="27">
        <v>12</v>
      </c>
      <c r="S114" s="29">
        <v>-1.658065547986342</v>
      </c>
      <c r="T114" s="29">
        <v>-1.5182693577920401</v>
      </c>
      <c r="U114" s="29">
        <v>-1.164243826066107</v>
      </c>
      <c r="V114" s="29">
        <v>-0.40572935667847371</v>
      </c>
      <c r="W114" s="29">
        <v>-0.39534774630743341</v>
      </c>
      <c r="X114" s="29">
        <v>-0.57535625145443958</v>
      </c>
      <c r="Z114" s="27">
        <v>98</v>
      </c>
      <c r="AA114" s="27">
        <v>93</v>
      </c>
      <c r="AB114" s="28" t="str">
        <f>$P$109</f>
        <v>S093</v>
      </c>
      <c r="AC114" s="27">
        <f>$Q$109</f>
        <v>1</v>
      </c>
      <c r="AD114" s="27">
        <f>$R$109</f>
        <v>4</v>
      </c>
      <c r="AE114" s="29">
        <f>$S$109</f>
        <v>-1.8689594370947511</v>
      </c>
      <c r="AF114" s="29">
        <f>$T$109</f>
        <v>-2.2012255989617939</v>
      </c>
      <c r="AG114" s="29">
        <f>$U$109</f>
        <v>-0.951955311007885</v>
      </c>
      <c r="AH114" s="29">
        <f>$V$109</f>
        <v>0.42980759877809249</v>
      </c>
      <c r="AI114" s="29">
        <f>$W$109</f>
        <v>-0.39534774630743341</v>
      </c>
      <c r="AJ114" s="29">
        <f>$X$109</f>
        <v>-0.57535625145443958</v>
      </c>
      <c r="AK114" s="29">
        <f t="shared" si="2"/>
        <v>2.5</v>
      </c>
    </row>
    <row r="115" spans="1:37" ht="18" customHeight="1" x14ac:dyDescent="0.25">
      <c r="A115" s="1"/>
      <c r="B115" s="43" t="s">
        <v>160</v>
      </c>
      <c r="C115" s="43"/>
      <c r="D115" s="43"/>
      <c r="E115" s="43"/>
      <c r="F115" s="43"/>
      <c r="G115" s="44" t="s">
        <v>161</v>
      </c>
      <c r="H115" s="44"/>
      <c r="I115" s="44"/>
      <c r="J115" s="44"/>
      <c r="K115" s="44"/>
      <c r="L115" s="44"/>
      <c r="M115" s="1"/>
      <c r="O115" s="27">
        <v>99</v>
      </c>
      <c r="P115" s="28" t="s">
        <v>136</v>
      </c>
      <c r="Q115" s="27">
        <v>1</v>
      </c>
      <c r="R115" s="27">
        <v>12</v>
      </c>
      <c r="S115" s="29">
        <v>-1.658065547986342</v>
      </c>
      <c r="T115" s="29">
        <v>-1.5182693577920401</v>
      </c>
      <c r="U115" s="29">
        <v>-1.164243826066107</v>
      </c>
      <c r="V115" s="29">
        <v>-0.40572935667847371</v>
      </c>
      <c r="W115" s="29">
        <v>7.5304332629987397E-2</v>
      </c>
      <c r="X115" s="29">
        <v>-0.57535625145443958</v>
      </c>
      <c r="Z115" s="27">
        <v>99</v>
      </c>
      <c r="AA115" s="27">
        <v>95</v>
      </c>
      <c r="AB115" s="28" t="str">
        <f>$P$111</f>
        <v>S095</v>
      </c>
      <c r="AC115" s="27">
        <f>$Q$111</f>
        <v>1</v>
      </c>
      <c r="AD115" s="27">
        <f>$R$111</f>
        <v>4</v>
      </c>
      <c r="AE115" s="29">
        <f>$S$111</f>
        <v>-1.8689594370947511</v>
      </c>
      <c r="AF115" s="29">
        <f>$T$111</f>
        <v>-2.2012255989617939</v>
      </c>
      <c r="AG115" s="29">
        <f>$U$111</f>
        <v>-0.951955311007885</v>
      </c>
      <c r="AH115" s="29">
        <f>$V$111</f>
        <v>0.42980759877809249</v>
      </c>
      <c r="AI115" s="29">
        <f>$W$111</f>
        <v>7.5304332629987397E-2</v>
      </c>
      <c r="AJ115" s="29">
        <f>$X$111</f>
        <v>-0.57535625145443958</v>
      </c>
      <c r="AK115" s="29">
        <f t="shared" si="2"/>
        <v>1.5</v>
      </c>
    </row>
    <row r="116" spans="1:37" ht="18" customHeight="1" x14ac:dyDescent="0.25">
      <c r="A116" s="1"/>
      <c r="B116" s="45" t="s">
        <v>162</v>
      </c>
      <c r="C116" s="45"/>
      <c r="D116" s="45"/>
      <c r="E116" s="45"/>
      <c r="F116" s="45"/>
      <c r="G116" s="10" t="s">
        <v>163</v>
      </c>
      <c r="H116" s="11" t="s">
        <v>164</v>
      </c>
      <c r="I116" s="12" t="s">
        <v>165</v>
      </c>
      <c r="J116" s="13" t="s">
        <v>166</v>
      </c>
      <c r="K116" s="14" t="s">
        <v>167</v>
      </c>
      <c r="L116" s="15" t="s">
        <v>168</v>
      </c>
      <c r="M116" s="1"/>
      <c r="O116" s="27">
        <v>100</v>
      </c>
      <c r="P116" s="28" t="s">
        <v>137</v>
      </c>
      <c r="Q116" s="27">
        <v>1</v>
      </c>
      <c r="R116" s="27">
        <v>12</v>
      </c>
      <c r="S116" s="29">
        <v>-1.658065547986342</v>
      </c>
      <c r="T116" s="29">
        <v>-1.5182693577920401</v>
      </c>
      <c r="U116" s="29">
        <v>-1.164243826066107</v>
      </c>
      <c r="V116" s="29">
        <v>-0.40572935667847371</v>
      </c>
      <c r="W116" s="29">
        <v>7.5304332629987397E-2</v>
      </c>
      <c r="X116" s="29">
        <v>-0.57535625145443958</v>
      </c>
      <c r="Z116" s="27">
        <v>100</v>
      </c>
      <c r="AA116" s="27">
        <v>96</v>
      </c>
      <c r="AB116" s="28" t="str">
        <f>$P$112</f>
        <v>S096</v>
      </c>
      <c r="AC116" s="27">
        <f>$Q$112</f>
        <v>1</v>
      </c>
      <c r="AD116" s="27">
        <f>$R$112</f>
        <v>4</v>
      </c>
      <c r="AE116" s="29">
        <f>$S$112</f>
        <v>-1.8689594370947511</v>
      </c>
      <c r="AF116" s="29">
        <f>$T$112</f>
        <v>-2.2012255989617939</v>
      </c>
      <c r="AG116" s="29">
        <f>$U$112</f>
        <v>-0.951955311007885</v>
      </c>
      <c r="AH116" s="29">
        <f>$V$112</f>
        <v>0.42980759877809249</v>
      </c>
      <c r="AI116" s="29">
        <f>$W$112</f>
        <v>7.5304332629987397E-2</v>
      </c>
      <c r="AJ116" s="29">
        <f>$X$112</f>
        <v>-0.57535625145443958</v>
      </c>
      <c r="AK116" s="29">
        <f t="shared" si="2"/>
        <v>0.5</v>
      </c>
    </row>
    <row r="117" spans="1:37" ht="9" customHeight="1" x14ac:dyDescent="0.25">
      <c r="A117" s="1"/>
      <c r="B117" s="1"/>
      <c r="C117" s="1"/>
      <c r="D117" s="1"/>
      <c r="E117" s="1"/>
      <c r="F117" s="1"/>
      <c r="G117" s="1"/>
      <c r="H117" s="1"/>
      <c r="I117" s="1"/>
      <c r="J117" s="1"/>
      <c r="K117" s="1"/>
      <c r="L117" s="1"/>
      <c r="M117" s="1"/>
    </row>
    <row r="118" spans="1:37" ht="18" customHeight="1" x14ac:dyDescent="0.25">
      <c r="A118" s="1"/>
      <c r="B118" s="43" t="s">
        <v>169</v>
      </c>
      <c r="C118" s="43"/>
      <c r="D118" s="43"/>
      <c r="E118" s="43"/>
      <c r="F118" s="43"/>
      <c r="G118" s="43"/>
      <c r="H118" s="43"/>
      <c r="I118" s="43"/>
      <c r="J118" s="43"/>
      <c r="K118" s="43"/>
      <c r="L118" s="43"/>
      <c r="M118" s="1"/>
    </row>
    <row r="119" spans="1:37" ht="18" customHeight="1" x14ac:dyDescent="0.25">
      <c r="A119" s="1"/>
      <c r="B119" s="34" t="s">
        <v>170</v>
      </c>
      <c r="C119" s="34"/>
      <c r="D119" s="34"/>
      <c r="E119" s="34"/>
      <c r="F119" s="34"/>
      <c r="G119" s="16" t="s">
        <v>171</v>
      </c>
      <c r="H119" s="17" t="s">
        <v>172</v>
      </c>
      <c r="I119" s="18" t="s">
        <v>173</v>
      </c>
      <c r="J119" s="19" t="s">
        <v>174</v>
      </c>
      <c r="K119" s="20" t="s">
        <v>175</v>
      </c>
      <c r="L119" s="1"/>
      <c r="M119" s="1"/>
    </row>
    <row r="120" spans="1:37" ht="18" customHeight="1" x14ac:dyDescent="0.25">
      <c r="A120" s="1"/>
      <c r="B120" s="34"/>
      <c r="C120" s="34"/>
      <c r="D120" s="34"/>
      <c r="E120" s="34"/>
      <c r="F120" s="34"/>
      <c r="G120" s="21" t="s">
        <v>176</v>
      </c>
      <c r="H120" s="22" t="s">
        <v>177</v>
      </c>
      <c r="I120" s="23" t="s">
        <v>178</v>
      </c>
      <c r="J120" s="24" t="s">
        <v>179</v>
      </c>
      <c r="K120" s="25" t="s">
        <v>180</v>
      </c>
      <c r="L120" s="1"/>
      <c r="M120" s="1"/>
    </row>
    <row r="121" spans="1:37" ht="9" customHeight="1" x14ac:dyDescent="0.25">
      <c r="A121" s="1"/>
      <c r="B121" s="1"/>
      <c r="C121" s="1"/>
      <c r="D121" s="1"/>
      <c r="E121" s="1"/>
      <c r="F121" s="1"/>
      <c r="G121" s="1"/>
      <c r="H121" s="1"/>
      <c r="I121" s="1"/>
      <c r="J121" s="1"/>
      <c r="K121" s="1"/>
      <c r="L121" s="1"/>
      <c r="M121" s="1"/>
      <c r="O121" s="37" t="s">
        <v>188</v>
      </c>
      <c r="P121" s="37"/>
      <c r="Q121" s="37"/>
      <c r="R121" s="37"/>
      <c r="S121" s="37"/>
      <c r="T121" s="37"/>
      <c r="U121" s="37"/>
      <c r="V121" s="37"/>
      <c r="W121" s="37"/>
      <c r="X121" s="37"/>
      <c r="Z121" s="37" t="s">
        <v>140</v>
      </c>
      <c r="AA121" s="37"/>
      <c r="AB121" s="37"/>
      <c r="AC121" s="37"/>
      <c r="AD121" s="37"/>
      <c r="AE121" s="37"/>
      <c r="AF121" s="37"/>
      <c r="AG121" s="37"/>
      <c r="AH121" s="37"/>
      <c r="AI121" s="37"/>
      <c r="AJ121" s="37"/>
      <c r="AK121" s="37"/>
    </row>
    <row r="122" spans="1:37" ht="18" customHeight="1" x14ac:dyDescent="0.25">
      <c r="A122" s="1"/>
      <c r="B122" s="34" t="s">
        <v>181</v>
      </c>
      <c r="C122" s="34"/>
      <c r="D122" s="34"/>
      <c r="E122" s="34"/>
      <c r="F122" s="34"/>
      <c r="G122" s="46" t="s">
        <v>182</v>
      </c>
      <c r="H122" s="46"/>
      <c r="I122" s="47" t="s">
        <v>183</v>
      </c>
      <c r="J122" s="47"/>
      <c r="K122" s="48" t="s">
        <v>184</v>
      </c>
      <c r="L122" s="48"/>
      <c r="M122" s="1"/>
      <c r="O122" s="26" t="s">
        <v>142</v>
      </c>
      <c r="P122" s="26" t="s">
        <v>189</v>
      </c>
      <c r="Q122" s="26" t="s">
        <v>190</v>
      </c>
      <c r="R122" s="26" t="s">
        <v>191</v>
      </c>
      <c r="S122" s="26" t="s">
        <v>192</v>
      </c>
      <c r="T122" s="26" t="s">
        <v>193</v>
      </c>
      <c r="U122" s="26" t="s">
        <v>194</v>
      </c>
      <c r="V122" s="26" t="s">
        <v>195</v>
      </c>
      <c r="W122" s="26" t="s">
        <v>196</v>
      </c>
      <c r="X122" s="26" t="s">
        <v>197</v>
      </c>
      <c r="Z122" s="26" t="s">
        <v>141</v>
      </c>
      <c r="AA122" s="26" t="s">
        <v>142</v>
      </c>
      <c r="AB122" s="26" t="s">
        <v>138</v>
      </c>
      <c r="AC122" s="26" t="s">
        <v>143</v>
      </c>
    </row>
    <row r="123" spans="1:37" ht="9" customHeight="1" x14ac:dyDescent="0.25">
      <c r="A123" s="1"/>
      <c r="B123" s="1"/>
      <c r="C123" s="1"/>
      <c r="D123" s="1"/>
      <c r="E123" s="1"/>
      <c r="F123" s="1"/>
      <c r="G123" s="1"/>
      <c r="H123" s="1"/>
      <c r="I123" s="1"/>
      <c r="J123" s="1"/>
      <c r="K123" s="1"/>
      <c r="L123" s="1"/>
      <c r="M123" s="1"/>
      <c r="O123" s="28" t="s">
        <v>13</v>
      </c>
      <c r="P123" s="29">
        <f>COUNT(S17:S116)</f>
        <v>100</v>
      </c>
      <c r="Q123" s="29">
        <f>AVERAGE(S17:S116)</f>
        <v>4.2188474935755947E-16</v>
      </c>
      <c r="R123" s="29">
        <f>STDEVP(S17:S116)</f>
        <v>0.99999999999999956</v>
      </c>
      <c r="S123" s="29">
        <f>STDEV(S17:S116)</f>
        <v>1.0050378152592117</v>
      </c>
      <c r="T123" s="29">
        <f>MIN(S17:S116)</f>
        <v>-1.8689594370947511</v>
      </c>
      <c r="U123" s="29">
        <f>MAX(S17:S116)</f>
        <v>2.0677264929288852</v>
      </c>
      <c r="V123" s="29">
        <f>COUNTIF(S17:S116,"&lt;-2")</f>
        <v>0</v>
      </c>
      <c r="W123" s="29">
        <f>COUNTIF(S17:S116,"&gt;2")</f>
        <v>5</v>
      </c>
      <c r="X123" s="29">
        <f>COUNTBLANK(S17:S116)</f>
        <v>0</v>
      </c>
      <c r="Z123" s="27">
        <v>1</v>
      </c>
      <c r="AA123" s="28" t="s">
        <v>13</v>
      </c>
      <c r="AB123" s="27">
        <v>1</v>
      </c>
      <c r="AC123" s="29">
        <f t="shared" ref="AC123:AC128" si="3">AB123-0.5</f>
        <v>0.5</v>
      </c>
    </row>
    <row r="124" spans="1:37" ht="18" customHeight="1" x14ac:dyDescent="0.25">
      <c r="A124" s="1"/>
      <c r="B124" s="49" t="s">
        <v>185</v>
      </c>
      <c r="C124" s="49"/>
      <c r="D124" s="49"/>
      <c r="E124" s="49"/>
      <c r="F124" s="49"/>
      <c r="G124" s="49"/>
      <c r="H124" s="49"/>
      <c r="I124" s="49"/>
      <c r="J124" s="49"/>
      <c r="K124" s="49"/>
      <c r="L124" s="49"/>
      <c r="M124" s="1"/>
      <c r="O124" s="28" t="s">
        <v>14</v>
      </c>
      <c r="P124" s="29">
        <f>COUNT(T17:T116)</f>
        <v>100</v>
      </c>
      <c r="Q124" s="29">
        <f>AVERAGE(T17:T116)</f>
        <v>-4.8849813083506888E-17</v>
      </c>
      <c r="R124" s="29">
        <f>STDEVP(T17:T116)</f>
        <v>0.99999999999999978</v>
      </c>
      <c r="S124" s="29">
        <f>STDEV(T17:T116)</f>
        <v>1.0050378152592119</v>
      </c>
      <c r="T124" s="29">
        <f>MIN(T17:T116)</f>
        <v>-2.2012255989617939</v>
      </c>
      <c r="U124" s="29">
        <f>MAX(T17:T116)</f>
        <v>1.8111423179105091</v>
      </c>
      <c r="V124" s="29">
        <f>COUNTIF(T17:T116,"&lt;-2")</f>
        <v>5</v>
      </c>
      <c r="W124" s="29">
        <f>COUNTIF(T17:T116,"&gt;2")</f>
        <v>0</v>
      </c>
      <c r="X124" s="29">
        <f>COUNTBLANK(T17:T116)</f>
        <v>0</v>
      </c>
      <c r="Z124" s="27">
        <v>2</v>
      </c>
      <c r="AA124" s="28" t="s">
        <v>14</v>
      </c>
      <c r="AB124" s="27">
        <v>2</v>
      </c>
      <c r="AC124" s="29">
        <f t="shared" si="3"/>
        <v>1.5</v>
      </c>
    </row>
    <row r="125" spans="1:37" ht="18" customHeight="1" x14ac:dyDescent="0.25">
      <c r="A125" s="1"/>
      <c r="B125" s="45" t="s">
        <v>186</v>
      </c>
      <c r="C125" s="45"/>
      <c r="D125" s="45"/>
      <c r="E125" s="45"/>
      <c r="F125" s="45"/>
      <c r="G125" s="45"/>
      <c r="H125" s="45"/>
      <c r="I125" s="45"/>
      <c r="J125" s="45"/>
      <c r="K125" s="45"/>
      <c r="L125" s="45"/>
      <c r="M125" s="1"/>
      <c r="O125" s="28" t="s">
        <v>15</v>
      </c>
      <c r="P125" s="29">
        <f>COUNT(U17:U116)</f>
        <v>100</v>
      </c>
      <c r="Q125" s="29">
        <f>AVERAGE(U17:U116)</f>
        <v>-3.552713678800501E-17</v>
      </c>
      <c r="R125" s="29">
        <f>STDEVP(U17:U116)</f>
        <v>0.99999999999999989</v>
      </c>
      <c r="S125" s="29">
        <f>STDEV(U17:U116)</f>
        <v>1.0050378152592121</v>
      </c>
      <c r="T125" s="29">
        <f>MIN(U17:U116)</f>
        <v>-1.773004776621806</v>
      </c>
      <c r="U125" s="29">
        <f>MAX(U17:U116)</f>
        <v>1.997151888020396</v>
      </c>
      <c r="V125" s="29">
        <f>COUNTIF(U17:U116,"&lt;-2")</f>
        <v>0</v>
      </c>
      <c r="W125" s="29">
        <f>COUNTIF(U17:U116,"&gt;2")</f>
        <v>0</v>
      </c>
      <c r="X125" s="29">
        <f>COUNTBLANK(U17:U116)</f>
        <v>0</v>
      </c>
      <c r="Z125" s="27">
        <v>3</v>
      </c>
      <c r="AA125" s="28" t="s">
        <v>15</v>
      </c>
      <c r="AB125" s="27">
        <v>3</v>
      </c>
      <c r="AC125" s="29">
        <f t="shared" si="3"/>
        <v>2.5</v>
      </c>
    </row>
    <row r="126" spans="1:37" ht="18" customHeight="1" x14ac:dyDescent="0.25">
      <c r="A126" s="1"/>
      <c r="B126" s="45" t="s">
        <v>187</v>
      </c>
      <c r="C126" s="45"/>
      <c r="D126" s="45"/>
      <c r="E126" s="45"/>
      <c r="F126" s="45"/>
      <c r="G126" s="45"/>
      <c r="H126" s="45"/>
      <c r="I126" s="45"/>
      <c r="J126" s="45"/>
      <c r="K126" s="45"/>
      <c r="L126" s="45"/>
      <c r="M126" s="1"/>
      <c r="O126" s="28" t="s">
        <v>16</v>
      </c>
      <c r="P126" s="29">
        <f>COUNT(V17:V116)</f>
        <v>100</v>
      </c>
      <c r="Q126" s="29">
        <f>AVERAGE(V17:V116)</f>
        <v>5.8064664187895692E-16</v>
      </c>
      <c r="R126" s="29">
        <f>STDEVP(V17:V116)</f>
        <v>1</v>
      </c>
      <c r="S126" s="29">
        <f>STDEV(V17:V116)</f>
        <v>1.0050378152592121</v>
      </c>
      <c r="T126" s="29">
        <f>MIN(V17:V116)</f>
        <v>-1.983965828096433</v>
      </c>
      <c r="U126" s="29">
        <f>MAX(V17:V116)</f>
        <v>1.6366943122153561</v>
      </c>
      <c r="V126" s="29">
        <f>COUNTIF(V17:V116,"&lt;-2")</f>
        <v>0</v>
      </c>
      <c r="W126" s="29">
        <f>COUNTIF(V17:V116,"&gt;2")</f>
        <v>0</v>
      </c>
      <c r="X126" s="29">
        <f>COUNTBLANK(V17:V116)</f>
        <v>0</v>
      </c>
      <c r="Z126" s="27">
        <v>4</v>
      </c>
      <c r="AA126" s="28" t="s">
        <v>16</v>
      </c>
      <c r="AB126" s="27">
        <v>4</v>
      </c>
      <c r="AC126" s="29">
        <f t="shared" si="3"/>
        <v>3.5</v>
      </c>
    </row>
    <row r="127" spans="1:37" ht="24" customHeight="1" x14ac:dyDescent="0.25">
      <c r="A127" s="1"/>
      <c r="B127" s="1"/>
      <c r="C127" s="1"/>
      <c r="D127" s="1"/>
      <c r="E127" s="1"/>
      <c r="F127" s="1"/>
      <c r="G127" s="1"/>
      <c r="H127" s="1"/>
      <c r="I127" s="1"/>
      <c r="J127" s="1"/>
      <c r="K127" s="1"/>
      <c r="L127" s="1"/>
      <c r="M127" s="1"/>
      <c r="O127" s="28" t="s">
        <v>17</v>
      </c>
      <c r="P127" s="29">
        <f>COUNT(W17:W116)</f>
        <v>100</v>
      </c>
      <c r="Q127" s="29">
        <f>AVERAGE(W17:W116)</f>
        <v>-3.8857805861880483E-18</v>
      </c>
      <c r="R127" s="29">
        <f>STDEVP(W17:W116)</f>
        <v>0.99999999999999989</v>
      </c>
      <c r="S127" s="29">
        <f>STDEV(W17:W116)</f>
        <v>1.0050378152592121</v>
      </c>
      <c r="T127" s="29">
        <f>MIN(W17:W116)</f>
        <v>-1.3366519041822751</v>
      </c>
      <c r="U127" s="29">
        <f>MAX(W17:W116)</f>
        <v>2.4285647273170921</v>
      </c>
      <c r="V127" s="29">
        <f>COUNTIF(W17:W116,"&lt;-2")</f>
        <v>0</v>
      </c>
      <c r="W127" s="29">
        <f>COUNTIF(W17:W116,"&gt;2")</f>
        <v>2</v>
      </c>
      <c r="X127" s="29">
        <f>COUNTBLANK(W17:W116)</f>
        <v>0</v>
      </c>
      <c r="Z127" s="27">
        <v>5</v>
      </c>
      <c r="AA127" s="28" t="s">
        <v>17</v>
      </c>
      <c r="AB127" s="27">
        <v>5</v>
      </c>
      <c r="AC127" s="29">
        <f t="shared" si="3"/>
        <v>4.5</v>
      </c>
    </row>
    <row r="128" spans="1:37" x14ac:dyDescent="0.25">
      <c r="O128" s="28" t="s">
        <v>18</v>
      </c>
      <c r="P128" s="29">
        <f>COUNT(X17:X116)</f>
        <v>100</v>
      </c>
      <c r="Q128" s="29">
        <f>AVERAGE(X17:X116)</f>
        <v>1.6209256159527285E-16</v>
      </c>
      <c r="R128" s="29">
        <f>STDEVP(X17:X116)</f>
        <v>1.0000000000000007</v>
      </c>
      <c r="S128" s="29">
        <f>STDEV(X17:X116)</f>
        <v>1.0050378152592128</v>
      </c>
      <c r="T128" s="29">
        <f>MIN(X17:X116)</f>
        <v>-0.57535625145443958</v>
      </c>
      <c r="U128" s="29">
        <f>MAX(X17:X116)</f>
        <v>3.4428454173674869</v>
      </c>
      <c r="V128" s="29">
        <f>COUNTIF(X17:X116,"&lt;-2")</f>
        <v>0</v>
      </c>
      <c r="W128" s="29">
        <f>COUNTIF(X17:X116,"&gt;2")</f>
        <v>8</v>
      </c>
      <c r="X128" s="29">
        <f>COUNTBLANK(X17:X116)</f>
        <v>0</v>
      </c>
      <c r="Z128" s="27">
        <v>6</v>
      </c>
      <c r="AA128" s="28" t="s">
        <v>18</v>
      </c>
      <c r="AB128" s="27">
        <v>6</v>
      </c>
      <c r="AC128" s="29">
        <f t="shared" si="3"/>
        <v>5.5</v>
      </c>
    </row>
    <row r="132" spans="15:59" x14ac:dyDescent="0.25">
      <c r="O132" s="37" t="s">
        <v>198</v>
      </c>
      <c r="P132" s="37"/>
      <c r="Q132" s="37"/>
      <c r="R132" s="37"/>
      <c r="S132" s="37"/>
      <c r="T132" s="37"/>
      <c r="U132" s="37"/>
      <c r="V132" s="37"/>
      <c r="W132" s="37"/>
      <c r="X132" s="37"/>
      <c r="Z132" s="37" t="s">
        <v>201</v>
      </c>
      <c r="AA132" s="37"/>
      <c r="AB132" s="37"/>
      <c r="AC132" s="37"/>
      <c r="AD132" s="37"/>
      <c r="AE132" s="37"/>
      <c r="AF132" s="37"/>
      <c r="AG132" s="37"/>
      <c r="AH132" s="37"/>
      <c r="AI132" s="37"/>
      <c r="AJ132" s="37"/>
      <c r="AK132" s="37"/>
    </row>
    <row r="133" spans="15:59" x14ac:dyDescent="0.25">
      <c r="O133" s="26" t="s">
        <v>36</v>
      </c>
      <c r="P133" s="26" t="s">
        <v>199</v>
      </c>
      <c r="Q133" s="26" t="s">
        <v>189</v>
      </c>
    </row>
    <row r="134" spans="15:59" x14ac:dyDescent="0.25">
      <c r="O134" s="27">
        <v>1</v>
      </c>
      <c r="P134" s="27">
        <v>4</v>
      </c>
      <c r="Q134" s="27">
        <f>COUNTIFS($Q$17:$Q$116,O134,$R$17:$R$116,P134)</f>
        <v>5</v>
      </c>
      <c r="Z134" s="38" t="s">
        <v>202</v>
      </c>
      <c r="AA134" s="38"/>
      <c r="AB134" s="38"/>
      <c r="AC134" s="38"/>
      <c r="AD134" s="38"/>
      <c r="AE134" s="38"/>
      <c r="AF134" s="29">
        <v>100</v>
      </c>
    </row>
    <row r="135" spans="15:59" x14ac:dyDescent="0.25">
      <c r="O135" s="27">
        <v>1</v>
      </c>
      <c r="P135" s="27">
        <v>12</v>
      </c>
      <c r="Q135" s="27">
        <f>COUNTIFS($Q$17:$Q$116,O135,$R$17:$R$116,P135)</f>
        <v>5</v>
      </c>
      <c r="Z135" s="38" t="s">
        <v>203</v>
      </c>
      <c r="AA135" s="38"/>
      <c r="AB135" s="38"/>
      <c r="AC135" s="38"/>
      <c r="AD135" s="38"/>
      <c r="AE135" s="38"/>
      <c r="AF135" s="29">
        <v>6</v>
      </c>
    </row>
    <row r="136" spans="15:59" x14ac:dyDescent="0.25">
      <c r="O136" s="27">
        <v>2</v>
      </c>
      <c r="P136" s="27">
        <v>4</v>
      </c>
      <c r="Q136" s="27">
        <f>COUNTIFS($Q$17:$Q$116,O136,$R$17:$R$116,P136)</f>
        <v>5</v>
      </c>
      <c r="Z136" s="38" t="s">
        <v>204</v>
      </c>
      <c r="AA136" s="38"/>
      <c r="AB136" s="38"/>
      <c r="AC136" s="38"/>
      <c r="AD136" s="38"/>
      <c r="AE136" s="38"/>
      <c r="AF136" s="29">
        <v>0</v>
      </c>
    </row>
    <row r="137" spans="15:59" x14ac:dyDescent="0.25">
      <c r="O137" s="27">
        <v>2</v>
      </c>
      <c r="P137" s="27">
        <v>12</v>
      </c>
      <c r="Q137" s="27">
        <f>COUNTIFS($Q$17:$Q$116,O137,$R$17:$R$116,P137)</f>
        <v>5</v>
      </c>
      <c r="Z137" s="38" t="s">
        <v>205</v>
      </c>
      <c r="AA137" s="38"/>
      <c r="AB137" s="38"/>
      <c r="AC137" s="38"/>
      <c r="AD137" s="38"/>
      <c r="AE137" s="38"/>
      <c r="AF137" s="29">
        <v>99</v>
      </c>
    </row>
    <row r="138" spans="15:59" x14ac:dyDescent="0.25">
      <c r="O138" s="27">
        <v>3</v>
      </c>
      <c r="P138" s="27">
        <v>4</v>
      </c>
      <c r="Q138" s="27">
        <f>COUNTIFS($Q$17:$Q$116,O138,$R$17:$R$116,P138)</f>
        <v>5</v>
      </c>
      <c r="Z138" s="38" t="s">
        <v>206</v>
      </c>
      <c r="AA138" s="38"/>
      <c r="AB138" s="38"/>
      <c r="AC138" s="38"/>
      <c r="AD138" s="38"/>
      <c r="AE138" s="38"/>
      <c r="AF138" s="29">
        <v>5</v>
      </c>
    </row>
    <row r="139" spans="15:59" x14ac:dyDescent="0.25">
      <c r="O139" s="27">
        <v>3</v>
      </c>
      <c r="P139" s="27">
        <v>12</v>
      </c>
      <c r="Q139" s="27">
        <f>COUNTIFS($Q$17:$Q$116,O139,$R$17:$R$116,P139)</f>
        <v>5</v>
      </c>
      <c r="Z139" s="38" t="s">
        <v>207</v>
      </c>
      <c r="AA139" s="38"/>
      <c r="AB139" s="38"/>
      <c r="AC139" s="38"/>
      <c r="AD139" s="38"/>
      <c r="AE139" s="38"/>
      <c r="AF139" s="29">
        <v>22.334220944888109</v>
      </c>
    </row>
    <row r="140" spans="15:59" x14ac:dyDescent="0.25">
      <c r="O140" s="27">
        <v>4</v>
      </c>
      <c r="P140" s="27">
        <v>4</v>
      </c>
      <c r="Q140" s="27">
        <f>COUNTIFS($Q$17:$Q$116,O140,$R$17:$R$116,P140)</f>
        <v>5</v>
      </c>
      <c r="Z140" s="38" t="s">
        <v>208</v>
      </c>
      <c r="AA140" s="38"/>
      <c r="AB140" s="38"/>
      <c r="AC140" s="38"/>
      <c r="AD140" s="38"/>
      <c r="AE140" s="38"/>
      <c r="AF140" s="29">
        <v>25.94813979293534</v>
      </c>
    </row>
    <row r="141" spans="15:59" x14ac:dyDescent="0.25">
      <c r="O141" s="27">
        <v>4</v>
      </c>
      <c r="P141" s="27">
        <v>12</v>
      </c>
      <c r="Q141" s="27">
        <f>COUNTIFS($Q$17:$Q$116,O141,$R$17:$R$116,P141)</f>
        <v>5</v>
      </c>
      <c r="Z141" s="38" t="s">
        <v>209</v>
      </c>
      <c r="AA141" s="38"/>
      <c r="AB141" s="38"/>
      <c r="AC141" s="38"/>
      <c r="AD141" s="38"/>
      <c r="AE141" s="38"/>
      <c r="AF141" s="29">
        <v>0.64040841979824903</v>
      </c>
    </row>
    <row r="142" spans="15:59" x14ac:dyDescent="0.25">
      <c r="O142" s="27">
        <v>5</v>
      </c>
      <c r="P142" s="27">
        <v>4</v>
      </c>
      <c r="Q142" s="27">
        <f>COUNTIFS($Q$17:$Q$116,O142,$R$17:$R$116,P142)</f>
        <v>5</v>
      </c>
      <c r="Z142" s="38" t="s">
        <v>210</v>
      </c>
      <c r="AA142" s="38"/>
      <c r="AB142" s="38"/>
      <c r="AC142" s="38"/>
      <c r="AD142" s="38"/>
      <c r="AE142" s="38"/>
      <c r="AF142" s="29">
        <v>0.96086372403224207</v>
      </c>
      <c r="AM142" s="37" t="s">
        <v>31</v>
      </c>
      <c r="AN142" s="37"/>
      <c r="AO142" s="37"/>
      <c r="AP142" s="37"/>
      <c r="AQ142" s="37"/>
      <c r="AR142" s="37"/>
      <c r="AS142" s="37"/>
      <c r="AT142" s="37"/>
      <c r="AU142" s="37"/>
      <c r="AV142" s="37"/>
      <c r="AW142" s="37"/>
      <c r="AY142" s="37" t="s">
        <v>32</v>
      </c>
      <c r="AZ142" s="37"/>
      <c r="BA142" s="37"/>
      <c r="BB142" s="37"/>
      <c r="BD142" s="37" t="s">
        <v>33</v>
      </c>
      <c r="BE142" s="37"/>
      <c r="BF142" s="37"/>
      <c r="BG142" s="37"/>
    </row>
    <row r="143" spans="15:59" ht="28.5" customHeight="1" x14ac:dyDescent="0.25">
      <c r="O143" s="27">
        <v>5</v>
      </c>
      <c r="P143" s="27">
        <v>12</v>
      </c>
      <c r="Q143" s="27">
        <f>COUNTIFS($Q$17:$Q$116,O143,$R$17:$R$116,P143)</f>
        <v>5</v>
      </c>
      <c r="Z143" s="38" t="s">
        <v>211</v>
      </c>
      <c r="AA143" s="38"/>
      <c r="AB143" s="38"/>
      <c r="AC143" s="38"/>
      <c r="AD143" s="38"/>
      <c r="AE143" s="38"/>
      <c r="AF143" s="29">
        <v>80</v>
      </c>
      <c r="AM143" s="26" t="s">
        <v>144</v>
      </c>
      <c r="AN143" s="26" t="s">
        <v>145</v>
      </c>
      <c r="AO143" s="26" t="s">
        <v>146</v>
      </c>
      <c r="AP143" s="26" t="s">
        <v>147</v>
      </c>
      <c r="AQ143" s="26" t="s">
        <v>148</v>
      </c>
      <c r="AR143" s="26" t="s">
        <v>149</v>
      </c>
      <c r="AS143" s="26" t="s">
        <v>150</v>
      </c>
      <c r="AT143" s="26" t="s">
        <v>151</v>
      </c>
      <c r="AU143" s="26" t="s">
        <v>152</v>
      </c>
      <c r="AV143" s="26" t="s">
        <v>153</v>
      </c>
      <c r="AW143" s="26" t="s">
        <v>154</v>
      </c>
      <c r="AY143" s="26" t="s">
        <v>145</v>
      </c>
      <c r="AZ143" s="26" t="s">
        <v>156</v>
      </c>
      <c r="BA143" s="26" t="s">
        <v>157</v>
      </c>
      <c r="BB143" s="26" t="s">
        <v>158</v>
      </c>
      <c r="BD143" s="26" t="s">
        <v>145</v>
      </c>
      <c r="BE143" s="26" t="s">
        <v>156</v>
      </c>
      <c r="BF143" s="26" t="s">
        <v>157</v>
      </c>
      <c r="BG143" s="26" t="s">
        <v>158</v>
      </c>
    </row>
    <row r="144" spans="15:59" x14ac:dyDescent="0.25">
      <c r="O144" s="27">
        <v>6</v>
      </c>
      <c r="P144" s="27">
        <v>4</v>
      </c>
      <c r="Q144" s="27">
        <f>COUNTIFS($Q$17:$Q$116,O144,$R$17:$R$116,P144)</f>
        <v>5</v>
      </c>
      <c r="Z144" s="38" t="s">
        <v>212</v>
      </c>
      <c r="AA144" s="38"/>
      <c r="AB144" s="38"/>
      <c r="AC144" s="38"/>
      <c r="AD144" s="38"/>
      <c r="AE144" s="38"/>
      <c r="AF144" s="29">
        <v>20</v>
      </c>
      <c r="AM144" s="27">
        <v>1</v>
      </c>
      <c r="AN144" s="27">
        <v>101</v>
      </c>
      <c r="AO144" s="27">
        <v>3</v>
      </c>
      <c r="AP144" s="27">
        <v>4</v>
      </c>
      <c r="AQ144" s="29">
        <v>0</v>
      </c>
      <c r="AR144" s="27">
        <v>2</v>
      </c>
      <c r="AS144" s="29">
        <f>INDEX($AK$17:$AK$116,MATCH(AO144,$AA$17:$AA$116,0))</f>
        <v>96.5</v>
      </c>
      <c r="AT144" s="29">
        <f>INDEX($AK$17:$AK$116,MATCH(AP144,$AA$17:$AA$116,0))</f>
        <v>95.5</v>
      </c>
      <c r="AU144" s="29">
        <f t="shared" ref="AU144:AU175" si="4">AVERAGE(AS144:AT144)</f>
        <v>96</v>
      </c>
      <c r="AV144" s="29">
        <f>0</f>
        <v>0</v>
      </c>
      <c r="AW144" s="29">
        <f>0</f>
        <v>0</v>
      </c>
      <c r="AY144" s="27">
        <v>101</v>
      </c>
      <c r="AZ144" s="27">
        <v>1</v>
      </c>
      <c r="BA144" s="29">
        <f>$AQ$242-AV144</f>
        <v>22.334220944888109</v>
      </c>
      <c r="BB144" s="29">
        <f>AS144</f>
        <v>96.5</v>
      </c>
      <c r="BD144" s="27">
        <v>7</v>
      </c>
      <c r="BE144" s="27">
        <v>1</v>
      </c>
      <c r="BF144" s="29">
        <f>AS250</f>
        <v>1.5</v>
      </c>
      <c r="BG144" s="29">
        <f>AV250</f>
        <v>0</v>
      </c>
    </row>
    <row r="145" spans="15:59" x14ac:dyDescent="0.25">
      <c r="O145" s="27">
        <v>6</v>
      </c>
      <c r="P145" s="27">
        <v>12</v>
      </c>
      <c r="Q145" s="27">
        <f>COUNTIFS($Q$17:$Q$116,O145,$R$17:$R$116,P145)</f>
        <v>5</v>
      </c>
      <c r="Z145" s="38" t="s">
        <v>213</v>
      </c>
      <c r="AA145" s="38"/>
      <c r="AB145" s="38"/>
      <c r="AC145" s="38"/>
      <c r="AD145" s="38"/>
      <c r="AE145" s="38"/>
      <c r="AF145" s="29">
        <v>5</v>
      </c>
      <c r="AM145" s="27">
        <v>2</v>
      </c>
      <c r="AN145" s="27">
        <v>102</v>
      </c>
      <c r="AO145" s="27">
        <v>5</v>
      </c>
      <c r="AP145" s="27">
        <v>101</v>
      </c>
      <c r="AQ145" s="29">
        <v>0</v>
      </c>
      <c r="AR145" s="27">
        <v>3</v>
      </c>
      <c r="AS145" s="29">
        <f>INDEX($AK$17:$AK$116,MATCH(AO145,$AA$17:$AA$116,0))</f>
        <v>97.5</v>
      </c>
      <c r="AT145" s="29">
        <f>AU144</f>
        <v>96</v>
      </c>
      <c r="AU145" s="29">
        <f t="shared" si="4"/>
        <v>96.75</v>
      </c>
      <c r="AV145" s="29">
        <f>0</f>
        <v>0</v>
      </c>
      <c r="AW145" s="29">
        <f>AQ144</f>
        <v>0</v>
      </c>
      <c r="AY145" s="27">
        <v>101</v>
      </c>
      <c r="AZ145" s="27">
        <v>2</v>
      </c>
      <c r="BA145" s="29">
        <f>$AQ$242-AQ144</f>
        <v>22.334220944888109</v>
      </c>
      <c r="BB145" s="29">
        <f>AS144</f>
        <v>96.5</v>
      </c>
      <c r="BD145" s="27">
        <v>7</v>
      </c>
      <c r="BE145" s="27">
        <v>2</v>
      </c>
      <c r="BF145" s="29">
        <f>AS250</f>
        <v>1.5</v>
      </c>
      <c r="BG145" s="29">
        <f>AQ250</f>
        <v>4.6163944994489459</v>
      </c>
    </row>
    <row r="146" spans="15:59" x14ac:dyDescent="0.25">
      <c r="O146" s="27">
        <v>7</v>
      </c>
      <c r="P146" s="27">
        <v>4</v>
      </c>
      <c r="Q146" s="27">
        <f>COUNTIFS($Q$17:$Q$116,O146,$R$17:$R$116,P146)</f>
        <v>5</v>
      </c>
      <c r="Z146" s="38" t="s">
        <v>214</v>
      </c>
      <c r="AA146" s="38"/>
      <c r="AB146" s="38"/>
      <c r="AC146" s="38"/>
      <c r="AD146" s="38"/>
      <c r="AE146" s="38"/>
      <c r="AF146" s="29">
        <v>15</v>
      </c>
      <c r="AM146" s="27">
        <v>3</v>
      </c>
      <c r="AN146" s="27">
        <v>103</v>
      </c>
      <c r="AO146" s="27">
        <v>11</v>
      </c>
      <c r="AP146" s="27">
        <v>12</v>
      </c>
      <c r="AQ146" s="29">
        <v>0</v>
      </c>
      <c r="AR146" s="27">
        <v>2</v>
      </c>
      <c r="AS146" s="29">
        <f>INDEX($AK$17:$AK$116,MATCH(AO146,$AA$17:$AA$116,0))</f>
        <v>88.5</v>
      </c>
      <c r="AT146" s="29">
        <f>INDEX($AK$17:$AK$116,MATCH(AP146,$AA$17:$AA$116,0))</f>
        <v>87.5</v>
      </c>
      <c r="AU146" s="29">
        <f t="shared" si="4"/>
        <v>88</v>
      </c>
      <c r="AV146" s="29">
        <f>0</f>
        <v>0</v>
      </c>
      <c r="AW146" s="29">
        <f>0</f>
        <v>0</v>
      </c>
      <c r="AY146" s="27">
        <v>101</v>
      </c>
      <c r="AZ146" s="27">
        <v>3</v>
      </c>
      <c r="BA146" s="29">
        <f>$AQ$242-AQ144</f>
        <v>22.334220944888109</v>
      </c>
      <c r="BB146" s="29">
        <f>AT144</f>
        <v>95.5</v>
      </c>
      <c r="BD146" s="27">
        <v>7</v>
      </c>
      <c r="BE146" s="27">
        <v>3</v>
      </c>
      <c r="BF146" s="29">
        <f>AT250</f>
        <v>2.5</v>
      </c>
      <c r="BG146" s="29">
        <f>AQ250</f>
        <v>4.6163944994489459</v>
      </c>
    </row>
    <row r="147" spans="15:59" x14ac:dyDescent="0.25">
      <c r="O147" s="27">
        <v>7</v>
      </c>
      <c r="P147" s="27">
        <v>12</v>
      </c>
      <c r="Q147" s="27">
        <f>COUNTIFS($Q$17:$Q$116,O147,$R$17:$R$116,P147)</f>
        <v>5</v>
      </c>
      <c r="AM147" s="27">
        <v>4</v>
      </c>
      <c r="AN147" s="27">
        <v>104</v>
      </c>
      <c r="AO147" s="27">
        <v>13</v>
      </c>
      <c r="AP147" s="27">
        <v>103</v>
      </c>
      <c r="AQ147" s="29">
        <v>0</v>
      </c>
      <c r="AR147" s="27">
        <v>3</v>
      </c>
      <c r="AS147" s="29">
        <f>INDEX($AK$17:$AK$116,MATCH(AO147,$AA$17:$AA$116,0))</f>
        <v>89.5</v>
      </c>
      <c r="AT147" s="29">
        <f>AU146</f>
        <v>88</v>
      </c>
      <c r="AU147" s="29">
        <f t="shared" si="4"/>
        <v>88.75</v>
      </c>
      <c r="AV147" s="29">
        <f>0</f>
        <v>0</v>
      </c>
      <c r="AW147" s="29">
        <f>AQ146</f>
        <v>0</v>
      </c>
      <c r="AY147" s="27">
        <v>101</v>
      </c>
      <c r="AZ147" s="27">
        <v>4</v>
      </c>
      <c r="BA147" s="29">
        <f>$AQ$242-AW144</f>
        <v>22.334220944888109</v>
      </c>
      <c r="BB147" s="29">
        <f>AT144</f>
        <v>95.5</v>
      </c>
      <c r="BD147" s="27">
        <v>7</v>
      </c>
      <c r="BE147" s="27">
        <v>4</v>
      </c>
      <c r="BF147" s="29">
        <f>AT250</f>
        <v>2.5</v>
      </c>
      <c r="BG147" s="29">
        <f>AW250</f>
        <v>0</v>
      </c>
    </row>
    <row r="148" spans="15:59" x14ac:dyDescent="0.25">
      <c r="O148" s="27">
        <v>8</v>
      </c>
      <c r="P148" s="27">
        <v>4</v>
      </c>
      <c r="Q148" s="27">
        <f>COUNTIFS($Q$17:$Q$116,O148,$R$17:$R$116,P148)</f>
        <v>5</v>
      </c>
      <c r="AM148" s="27">
        <v>5</v>
      </c>
      <c r="AN148" s="27">
        <v>105</v>
      </c>
      <c r="AO148" s="27">
        <v>42</v>
      </c>
      <c r="AP148" s="27">
        <v>43</v>
      </c>
      <c r="AQ148" s="29">
        <v>0</v>
      </c>
      <c r="AR148" s="27">
        <v>2</v>
      </c>
      <c r="AS148" s="29">
        <f>INDEX($AK$17:$AK$116,MATCH(AO148,$AA$17:$AA$116,0))</f>
        <v>58.5</v>
      </c>
      <c r="AT148" s="29">
        <f>INDEX($AK$17:$AK$116,MATCH(AP148,$AA$17:$AA$116,0))</f>
        <v>57.5</v>
      </c>
      <c r="AU148" s="29">
        <f t="shared" si="4"/>
        <v>58</v>
      </c>
      <c r="AV148" s="29">
        <f>0</f>
        <v>0</v>
      </c>
      <c r="AW148" s="29">
        <f>0</f>
        <v>0</v>
      </c>
      <c r="AZ148" s="28" t="s">
        <v>159</v>
      </c>
      <c r="BE148" s="28" t="s">
        <v>159</v>
      </c>
    </row>
    <row r="149" spans="15:59" x14ac:dyDescent="0.25">
      <c r="O149" s="27">
        <v>8</v>
      </c>
      <c r="P149" s="27">
        <v>12</v>
      </c>
      <c r="Q149" s="27">
        <f>COUNTIFS($Q$17:$Q$116,O149,$R$17:$R$116,P149)</f>
        <v>5</v>
      </c>
      <c r="AM149" s="27">
        <v>6</v>
      </c>
      <c r="AN149" s="27">
        <v>106</v>
      </c>
      <c r="AO149" s="27">
        <v>30</v>
      </c>
      <c r="AP149" s="27">
        <v>31</v>
      </c>
      <c r="AQ149" s="29">
        <v>0</v>
      </c>
      <c r="AR149" s="27">
        <v>2</v>
      </c>
      <c r="AS149" s="29">
        <f>INDEX($AK$17:$AK$116,MATCH(AO149,$AA$17:$AA$116,0))</f>
        <v>68.5</v>
      </c>
      <c r="AT149" s="29">
        <f>INDEX($AK$17:$AK$116,MATCH(AP149,$AA$17:$AA$116,0))</f>
        <v>67.5</v>
      </c>
      <c r="AU149" s="29">
        <f t="shared" si="4"/>
        <v>68</v>
      </c>
      <c r="AV149" s="29">
        <f>0</f>
        <v>0</v>
      </c>
      <c r="AW149" s="29">
        <f>0</f>
        <v>0</v>
      </c>
      <c r="AY149" s="27">
        <v>102</v>
      </c>
      <c r="AZ149" s="27">
        <v>1</v>
      </c>
      <c r="BA149" s="29">
        <f>$AQ$242-AV145</f>
        <v>22.334220944888109</v>
      </c>
      <c r="BB149" s="29">
        <f>AS145</f>
        <v>97.5</v>
      </c>
      <c r="BD149" s="27">
        <v>8</v>
      </c>
      <c r="BE149" s="27">
        <v>1</v>
      </c>
      <c r="BF149" s="29">
        <f>AS251</f>
        <v>4.5</v>
      </c>
      <c r="BG149" s="29">
        <f>AV251</f>
        <v>0</v>
      </c>
    </row>
    <row r="150" spans="15:59" x14ac:dyDescent="0.25">
      <c r="O150" s="27">
        <v>9</v>
      </c>
      <c r="P150" s="27">
        <v>4</v>
      </c>
      <c r="Q150" s="27">
        <f>COUNTIFS($Q$17:$Q$116,O150,$R$17:$R$116,P150)</f>
        <v>5</v>
      </c>
      <c r="AM150" s="27">
        <v>7</v>
      </c>
      <c r="AN150" s="27">
        <v>107</v>
      </c>
      <c r="AO150" s="27">
        <v>32</v>
      </c>
      <c r="AP150" s="27">
        <v>106</v>
      </c>
      <c r="AQ150" s="29">
        <v>0</v>
      </c>
      <c r="AR150" s="27">
        <v>3</v>
      </c>
      <c r="AS150" s="29">
        <f>INDEX($AK$17:$AK$116,MATCH(AO150,$AA$17:$AA$116,0))</f>
        <v>69.5</v>
      </c>
      <c r="AT150" s="29">
        <f>AU149</f>
        <v>68</v>
      </c>
      <c r="AU150" s="29">
        <f t="shared" si="4"/>
        <v>68.75</v>
      </c>
      <c r="AV150" s="29">
        <f>0</f>
        <v>0</v>
      </c>
      <c r="AW150" s="29">
        <f>AQ149</f>
        <v>0</v>
      </c>
      <c r="AY150" s="27">
        <v>102</v>
      </c>
      <c r="AZ150" s="27">
        <v>2</v>
      </c>
      <c r="BA150" s="29">
        <f>$AQ$242-AQ145</f>
        <v>22.334220944888109</v>
      </c>
      <c r="BB150" s="29">
        <f>AS145</f>
        <v>97.5</v>
      </c>
      <c r="BD150" s="27">
        <v>8</v>
      </c>
      <c r="BE150" s="27">
        <v>2</v>
      </c>
      <c r="BF150" s="29">
        <f>AS251</f>
        <v>4.5</v>
      </c>
      <c r="BG150" s="29">
        <f>AQ251</f>
        <v>7.6404944914629827</v>
      </c>
    </row>
    <row r="151" spans="15:59" x14ac:dyDescent="0.25">
      <c r="O151" s="27">
        <v>9</v>
      </c>
      <c r="P151" s="27">
        <v>12</v>
      </c>
      <c r="Q151" s="27">
        <f>COUNTIFS($Q$17:$Q$116,O151,$R$17:$R$116,P151)</f>
        <v>5</v>
      </c>
      <c r="AM151" s="27">
        <v>8</v>
      </c>
      <c r="AN151" s="27">
        <v>108</v>
      </c>
      <c r="AO151" s="27">
        <v>33</v>
      </c>
      <c r="AP151" s="27">
        <v>107</v>
      </c>
      <c r="AQ151" s="29">
        <v>0</v>
      </c>
      <c r="AR151" s="27">
        <v>4</v>
      </c>
      <c r="AS151" s="29">
        <f>INDEX($AK$17:$AK$116,MATCH(AO151,$AA$17:$AA$116,0))</f>
        <v>70.5</v>
      </c>
      <c r="AT151" s="29">
        <f>AU150</f>
        <v>68.75</v>
      </c>
      <c r="AU151" s="29">
        <f t="shared" si="4"/>
        <v>69.625</v>
      </c>
      <c r="AV151" s="29">
        <f>0</f>
        <v>0</v>
      </c>
      <c r="AW151" s="29">
        <f>AQ150</f>
        <v>0</v>
      </c>
      <c r="AY151" s="27">
        <v>102</v>
      </c>
      <c r="AZ151" s="27">
        <v>3</v>
      </c>
      <c r="BA151" s="29">
        <f>$AQ$242-AQ145</f>
        <v>22.334220944888109</v>
      </c>
      <c r="BB151" s="29">
        <f>AT145</f>
        <v>96</v>
      </c>
      <c r="BD151" s="27">
        <v>8</v>
      </c>
      <c r="BE151" s="27">
        <v>3</v>
      </c>
      <c r="BF151" s="29">
        <f>AT251</f>
        <v>5.5</v>
      </c>
      <c r="BG151" s="29">
        <f>AQ251</f>
        <v>7.6404944914629827</v>
      </c>
    </row>
    <row r="152" spans="15:59" x14ac:dyDescent="0.25">
      <c r="O152" s="27">
        <v>10</v>
      </c>
      <c r="P152" s="27">
        <v>4</v>
      </c>
      <c r="Q152" s="27">
        <f>COUNTIFS($Q$17:$Q$116,O152,$R$17:$R$116,P152)</f>
        <v>5</v>
      </c>
      <c r="AM152" s="27">
        <v>9</v>
      </c>
      <c r="AN152" s="27">
        <v>109</v>
      </c>
      <c r="AO152" s="27">
        <v>14</v>
      </c>
      <c r="AP152" s="27">
        <v>15</v>
      </c>
      <c r="AQ152" s="29">
        <v>0</v>
      </c>
      <c r="AR152" s="27">
        <v>2</v>
      </c>
      <c r="AS152" s="29">
        <f>INDEX($AK$17:$AK$116,MATCH(AO152,$AA$17:$AA$116,0))</f>
        <v>86.5</v>
      </c>
      <c r="AT152" s="29">
        <f>INDEX($AK$17:$AK$116,MATCH(AP152,$AA$17:$AA$116,0))</f>
        <v>85.5</v>
      </c>
      <c r="AU152" s="29">
        <f t="shared" si="4"/>
        <v>86</v>
      </c>
      <c r="AV152" s="29">
        <f>0</f>
        <v>0</v>
      </c>
      <c r="AW152" s="29">
        <f>0</f>
        <v>0</v>
      </c>
      <c r="AY152" s="27">
        <v>102</v>
      </c>
      <c r="AZ152" s="27">
        <v>4</v>
      </c>
      <c r="BA152" s="29">
        <f>$AQ$242-AW145</f>
        <v>22.334220944888109</v>
      </c>
      <c r="BB152" s="29">
        <f>AT145</f>
        <v>96</v>
      </c>
      <c r="BD152" s="27">
        <v>8</v>
      </c>
      <c r="BE152" s="27">
        <v>4</v>
      </c>
      <c r="BF152" s="29">
        <f>AT251</f>
        <v>5.5</v>
      </c>
      <c r="BG152" s="29">
        <f>AW251</f>
        <v>0</v>
      </c>
    </row>
    <row r="153" spans="15:59" x14ac:dyDescent="0.25">
      <c r="O153" s="27">
        <v>10</v>
      </c>
      <c r="P153" s="27">
        <v>12</v>
      </c>
      <c r="Q153" s="27">
        <f>COUNTIFS($Q$17:$Q$116,O153,$R$17:$R$116,P153)</f>
        <v>5</v>
      </c>
      <c r="AM153" s="27">
        <v>10</v>
      </c>
      <c r="AN153" s="27">
        <v>110</v>
      </c>
      <c r="AO153" s="27">
        <v>7</v>
      </c>
      <c r="AP153" s="27">
        <v>8</v>
      </c>
      <c r="AQ153" s="29">
        <v>0</v>
      </c>
      <c r="AR153" s="27">
        <v>2</v>
      </c>
      <c r="AS153" s="29">
        <f>INDEX($AK$17:$AK$116,MATCH(AO153,$AA$17:$AA$116,0))</f>
        <v>91.5</v>
      </c>
      <c r="AT153" s="29">
        <f>INDEX($AK$17:$AK$116,MATCH(AP153,$AA$17:$AA$116,0))</f>
        <v>90.5</v>
      </c>
      <c r="AU153" s="29">
        <f t="shared" si="4"/>
        <v>91</v>
      </c>
      <c r="AV153" s="29">
        <f>0</f>
        <v>0</v>
      </c>
      <c r="AW153" s="29">
        <f>0</f>
        <v>0</v>
      </c>
      <c r="AZ153" s="28" t="s">
        <v>159</v>
      </c>
      <c r="BE153" s="28" t="s">
        <v>159</v>
      </c>
    </row>
    <row r="154" spans="15:59" x14ac:dyDescent="0.25">
      <c r="O154" s="30" t="s">
        <v>200</v>
      </c>
      <c r="Q154" s="27">
        <f>SUM(Q134:Q153)</f>
        <v>100</v>
      </c>
      <c r="AM154" s="27">
        <v>11</v>
      </c>
      <c r="AN154" s="27">
        <v>111</v>
      </c>
      <c r="AO154" s="27">
        <v>9</v>
      </c>
      <c r="AP154" s="27">
        <v>110</v>
      </c>
      <c r="AQ154" s="29">
        <v>0</v>
      </c>
      <c r="AR154" s="27">
        <v>3</v>
      </c>
      <c r="AS154" s="29">
        <f>INDEX($AK$17:$AK$116,MATCH(AO154,$AA$17:$AA$116,0))</f>
        <v>92.5</v>
      </c>
      <c r="AT154" s="29">
        <f>AU153</f>
        <v>91</v>
      </c>
      <c r="AU154" s="29">
        <f t="shared" si="4"/>
        <v>91.75</v>
      </c>
      <c r="AV154" s="29">
        <f>0</f>
        <v>0</v>
      </c>
      <c r="AW154" s="29">
        <f>AQ153</f>
        <v>0</v>
      </c>
      <c r="AY154" s="27">
        <v>103</v>
      </c>
      <c r="AZ154" s="27">
        <v>1</v>
      </c>
      <c r="BA154" s="29">
        <f>$AQ$242-AV146</f>
        <v>22.334220944888109</v>
      </c>
      <c r="BB154" s="29">
        <f>AS146</f>
        <v>88.5</v>
      </c>
      <c r="BD154" s="27">
        <v>9</v>
      </c>
      <c r="BE154" s="27">
        <v>1</v>
      </c>
      <c r="BF154" s="29">
        <f>AS252</f>
        <v>0.5</v>
      </c>
      <c r="BG154" s="29">
        <f>AV252</f>
        <v>0</v>
      </c>
    </row>
    <row r="155" spans="15:59" x14ac:dyDescent="0.25">
      <c r="AM155" s="27">
        <v>12</v>
      </c>
      <c r="AN155" s="27">
        <v>112</v>
      </c>
      <c r="AO155" s="27">
        <v>10</v>
      </c>
      <c r="AP155" s="27">
        <v>111</v>
      </c>
      <c r="AQ155" s="29">
        <v>0</v>
      </c>
      <c r="AR155" s="27">
        <v>4</v>
      </c>
      <c r="AS155" s="29">
        <f>INDEX($AK$17:$AK$116,MATCH(AO155,$AA$17:$AA$116,0))</f>
        <v>93.5</v>
      </c>
      <c r="AT155" s="29">
        <f>AU154</f>
        <v>91.75</v>
      </c>
      <c r="AU155" s="29">
        <f t="shared" si="4"/>
        <v>92.625</v>
      </c>
      <c r="AV155" s="29">
        <f>0</f>
        <v>0</v>
      </c>
      <c r="AW155" s="29">
        <f>AQ154</f>
        <v>0</v>
      </c>
      <c r="AY155" s="27">
        <v>103</v>
      </c>
      <c r="AZ155" s="27">
        <v>2</v>
      </c>
      <c r="BA155" s="29">
        <f>$AQ$242-AQ146</f>
        <v>22.334220944888109</v>
      </c>
      <c r="BB155" s="29">
        <f>AS146</f>
        <v>88.5</v>
      </c>
      <c r="BD155" s="27">
        <v>9</v>
      </c>
      <c r="BE155" s="27">
        <v>2</v>
      </c>
      <c r="BF155" s="29">
        <f>AS252</f>
        <v>0.5</v>
      </c>
      <c r="BG155" s="29">
        <f>AQ252</f>
        <v>8.1643668915705181</v>
      </c>
    </row>
    <row r="156" spans="15:59" x14ac:dyDescent="0.25">
      <c r="AM156" s="27">
        <v>13</v>
      </c>
      <c r="AN156" s="27">
        <v>113</v>
      </c>
      <c r="AO156" s="27">
        <v>34</v>
      </c>
      <c r="AP156" s="27">
        <v>35</v>
      </c>
      <c r="AQ156" s="29">
        <v>0</v>
      </c>
      <c r="AR156" s="27">
        <v>2</v>
      </c>
      <c r="AS156" s="29">
        <f>INDEX($AK$17:$AK$116,MATCH(AO156,$AA$17:$AA$116,0))</f>
        <v>65.5</v>
      </c>
      <c r="AT156" s="29">
        <f>INDEX($AK$17:$AK$116,MATCH(AP156,$AA$17:$AA$116,0))</f>
        <v>64.5</v>
      </c>
      <c r="AU156" s="29">
        <f t="shared" si="4"/>
        <v>65</v>
      </c>
      <c r="AV156" s="29">
        <f>0</f>
        <v>0</v>
      </c>
      <c r="AW156" s="29">
        <f>0</f>
        <v>0</v>
      </c>
      <c r="AY156" s="27">
        <v>103</v>
      </c>
      <c r="AZ156" s="27">
        <v>3</v>
      </c>
      <c r="BA156" s="29">
        <f>$AQ$242-AQ146</f>
        <v>22.334220944888109</v>
      </c>
      <c r="BB156" s="29">
        <f>AT146</f>
        <v>87.5</v>
      </c>
      <c r="BD156" s="27">
        <v>9</v>
      </c>
      <c r="BE156" s="27">
        <v>3</v>
      </c>
      <c r="BF156" s="29">
        <f>AT252</f>
        <v>2</v>
      </c>
      <c r="BG156" s="29">
        <f>AQ252</f>
        <v>8.1643668915705181</v>
      </c>
    </row>
    <row r="157" spans="15:59" x14ac:dyDescent="0.25">
      <c r="AM157" s="27">
        <v>14</v>
      </c>
      <c r="AN157" s="27">
        <v>114</v>
      </c>
      <c r="AO157" s="27">
        <v>36</v>
      </c>
      <c r="AP157" s="27">
        <v>113</v>
      </c>
      <c r="AQ157" s="29">
        <v>0</v>
      </c>
      <c r="AR157" s="27">
        <v>3</v>
      </c>
      <c r="AS157" s="29">
        <f>INDEX($AK$17:$AK$116,MATCH(AO157,$AA$17:$AA$116,0))</f>
        <v>66.5</v>
      </c>
      <c r="AT157" s="29">
        <f>AU156</f>
        <v>65</v>
      </c>
      <c r="AU157" s="29">
        <f t="shared" si="4"/>
        <v>65.75</v>
      </c>
      <c r="AV157" s="29">
        <f>0</f>
        <v>0</v>
      </c>
      <c r="AW157" s="29">
        <f>AQ156</f>
        <v>0</v>
      </c>
      <c r="AY157" s="27">
        <v>103</v>
      </c>
      <c r="AZ157" s="27">
        <v>4</v>
      </c>
      <c r="BA157" s="29">
        <f>$AQ$242-AW146</f>
        <v>22.334220944888109</v>
      </c>
      <c r="BB157" s="29">
        <f>AT146</f>
        <v>87.5</v>
      </c>
      <c r="BD157" s="27">
        <v>9</v>
      </c>
      <c r="BE157" s="27">
        <v>4</v>
      </c>
      <c r="BF157" s="29">
        <f>AT252</f>
        <v>2</v>
      </c>
      <c r="BG157" s="29">
        <f>AW252</f>
        <v>4.6163944994489459</v>
      </c>
    </row>
    <row r="158" spans="15:59" x14ac:dyDescent="0.25">
      <c r="AM158" s="27">
        <v>15</v>
      </c>
      <c r="AN158" s="27">
        <v>115</v>
      </c>
      <c r="AO158" s="27">
        <v>37</v>
      </c>
      <c r="AP158" s="27">
        <v>38</v>
      </c>
      <c r="AQ158" s="29">
        <v>0</v>
      </c>
      <c r="AR158" s="27">
        <v>2</v>
      </c>
      <c r="AS158" s="29">
        <f>INDEX($AK$17:$AK$116,MATCH(AO158,$AA$17:$AA$116,0))</f>
        <v>63.5</v>
      </c>
      <c r="AT158" s="29">
        <f>INDEX($AK$17:$AK$116,MATCH(AP158,$AA$17:$AA$116,0))</f>
        <v>62.5</v>
      </c>
      <c r="AU158" s="29">
        <f t="shared" si="4"/>
        <v>63</v>
      </c>
      <c r="AV158" s="29">
        <f>0</f>
        <v>0</v>
      </c>
      <c r="AW158" s="29">
        <f>0</f>
        <v>0</v>
      </c>
      <c r="AZ158" s="28" t="s">
        <v>159</v>
      </c>
      <c r="BE158" s="28" t="s">
        <v>159</v>
      </c>
    </row>
    <row r="159" spans="15:59" x14ac:dyDescent="0.25">
      <c r="AM159" s="27">
        <v>16</v>
      </c>
      <c r="AN159" s="27">
        <v>116</v>
      </c>
      <c r="AO159" s="27">
        <v>74</v>
      </c>
      <c r="AP159" s="27">
        <v>75</v>
      </c>
      <c r="AQ159" s="29">
        <v>0</v>
      </c>
      <c r="AR159" s="27">
        <v>2</v>
      </c>
      <c r="AS159" s="29">
        <f>INDEX($AK$17:$AK$116,MATCH(AO159,$AA$17:$AA$116,0))</f>
        <v>26.5</v>
      </c>
      <c r="AT159" s="29">
        <f>INDEX($AK$17:$AK$116,MATCH(AP159,$AA$17:$AA$116,0))</f>
        <v>25.5</v>
      </c>
      <c r="AU159" s="29">
        <f t="shared" si="4"/>
        <v>26</v>
      </c>
      <c r="AV159" s="29">
        <f>0</f>
        <v>0</v>
      </c>
      <c r="AW159" s="29">
        <f>0</f>
        <v>0</v>
      </c>
      <c r="AY159" s="27">
        <v>104</v>
      </c>
      <c r="AZ159" s="27">
        <v>1</v>
      </c>
      <c r="BA159" s="29">
        <f>$AQ$242-AV147</f>
        <v>22.334220944888109</v>
      </c>
      <c r="BB159" s="29">
        <f>AS147</f>
        <v>89.5</v>
      </c>
      <c r="BD159" s="27">
        <v>10</v>
      </c>
      <c r="BE159" s="27">
        <v>1</v>
      </c>
      <c r="BF159" s="29">
        <f>AS253</f>
        <v>3.5</v>
      </c>
      <c r="BG159" s="29">
        <f>AV253</f>
        <v>0</v>
      </c>
    </row>
    <row r="160" spans="15:59" x14ac:dyDescent="0.25">
      <c r="O160" s="37" t="s">
        <v>215</v>
      </c>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M160" s="27">
        <v>17</v>
      </c>
      <c r="AN160" s="27">
        <v>117</v>
      </c>
      <c r="AO160" s="27">
        <v>63</v>
      </c>
      <c r="AP160" s="27">
        <v>64</v>
      </c>
      <c r="AQ160" s="29">
        <v>0</v>
      </c>
      <c r="AR160" s="27">
        <v>2</v>
      </c>
      <c r="AS160" s="29">
        <f>INDEX($AK$17:$AK$116,MATCH(AO160,$AA$17:$AA$116,0))</f>
        <v>37.5</v>
      </c>
      <c r="AT160" s="29">
        <f>INDEX($AK$17:$AK$116,MATCH(AP160,$AA$17:$AA$116,0))</f>
        <v>36.5</v>
      </c>
      <c r="AU160" s="29">
        <f t="shared" si="4"/>
        <v>37</v>
      </c>
      <c r="AV160" s="29">
        <f>0</f>
        <v>0</v>
      </c>
      <c r="AW160" s="29">
        <f>0</f>
        <v>0</v>
      </c>
      <c r="AY160" s="27">
        <v>104</v>
      </c>
      <c r="AZ160" s="27">
        <v>2</v>
      </c>
      <c r="BA160" s="29">
        <f>$AQ$242-AQ147</f>
        <v>22.334220944888109</v>
      </c>
      <c r="BB160" s="29">
        <f>AS147</f>
        <v>89.5</v>
      </c>
      <c r="BD160" s="27">
        <v>10</v>
      </c>
      <c r="BE160" s="27">
        <v>2</v>
      </c>
      <c r="BF160" s="29">
        <f>AS253</f>
        <v>3.5</v>
      </c>
      <c r="BG160" s="29">
        <f>AQ253</f>
        <v>12.398770696858829</v>
      </c>
    </row>
    <row r="161" spans="15:59" x14ac:dyDescent="0.25">
      <c r="AM161" s="27">
        <v>18</v>
      </c>
      <c r="AN161" s="27">
        <v>118</v>
      </c>
      <c r="AO161" s="27">
        <v>99</v>
      </c>
      <c r="AP161" s="27">
        <v>100</v>
      </c>
      <c r="AQ161" s="29">
        <v>0</v>
      </c>
      <c r="AR161" s="27">
        <v>2</v>
      </c>
      <c r="AS161" s="29">
        <f>INDEX($AK$17:$AK$116,MATCH(AO161,$AA$17:$AA$116,0))</f>
        <v>5.5</v>
      </c>
      <c r="AT161" s="29">
        <f>INDEX($AK$17:$AK$116,MATCH(AP161,$AA$17:$AA$116,0))</f>
        <v>4.5</v>
      </c>
      <c r="AU161" s="29">
        <f t="shared" si="4"/>
        <v>5</v>
      </c>
      <c r="AV161" s="29">
        <f>0</f>
        <v>0</v>
      </c>
      <c r="AW161" s="29">
        <f>0</f>
        <v>0</v>
      </c>
      <c r="AY161" s="27">
        <v>104</v>
      </c>
      <c r="AZ161" s="27">
        <v>3</v>
      </c>
      <c r="BA161" s="29">
        <f>$AQ$242-AQ147</f>
        <v>22.334220944888109</v>
      </c>
      <c r="BB161" s="29">
        <f>AT147</f>
        <v>88</v>
      </c>
      <c r="BD161" s="27">
        <v>10</v>
      </c>
      <c r="BE161" s="27">
        <v>3</v>
      </c>
      <c r="BF161" s="29">
        <f>AT253</f>
        <v>5</v>
      </c>
      <c r="BG161" s="29">
        <f>AQ253</f>
        <v>12.398770696858829</v>
      </c>
    </row>
    <row r="162" spans="15:59" x14ac:dyDescent="0.25">
      <c r="O162" s="50" t="s">
        <v>216</v>
      </c>
      <c r="P162" s="50"/>
      <c r="Q162" s="50"/>
      <c r="R162" s="50"/>
      <c r="S162" s="51" t="s">
        <v>217</v>
      </c>
      <c r="T162" s="51"/>
      <c r="U162" s="51"/>
      <c r="V162" s="51"/>
      <c r="W162" s="51"/>
      <c r="X162" s="51"/>
      <c r="Y162" s="51"/>
      <c r="Z162" s="51"/>
      <c r="AA162" s="51"/>
      <c r="AB162" s="51"/>
      <c r="AC162" s="51"/>
      <c r="AD162" s="51"/>
      <c r="AE162" s="51"/>
      <c r="AF162" s="51"/>
      <c r="AG162" s="51"/>
      <c r="AH162" s="51"/>
      <c r="AI162" s="51"/>
      <c r="AJ162" s="51"/>
      <c r="AK162" s="51"/>
      <c r="AM162" s="27">
        <v>19</v>
      </c>
      <c r="AN162" s="27">
        <v>119</v>
      </c>
      <c r="AO162" s="27">
        <v>84</v>
      </c>
      <c r="AP162" s="27">
        <v>85</v>
      </c>
      <c r="AQ162" s="29">
        <v>0</v>
      </c>
      <c r="AR162" s="27">
        <v>2</v>
      </c>
      <c r="AS162" s="29">
        <f>INDEX($AK$17:$AK$116,MATCH(AO162,$AA$17:$AA$116,0))</f>
        <v>16.5</v>
      </c>
      <c r="AT162" s="29">
        <f>INDEX($AK$17:$AK$116,MATCH(AP162,$AA$17:$AA$116,0))</f>
        <v>15.5</v>
      </c>
      <c r="AU162" s="29">
        <f t="shared" si="4"/>
        <v>16</v>
      </c>
      <c r="AV162" s="29">
        <f>0</f>
        <v>0</v>
      </c>
      <c r="AW162" s="29">
        <f>0</f>
        <v>0</v>
      </c>
      <c r="AY162" s="27">
        <v>104</v>
      </c>
      <c r="AZ162" s="27">
        <v>4</v>
      </c>
      <c r="BA162" s="29">
        <f>$AQ$242-AW147</f>
        <v>22.334220944888109</v>
      </c>
      <c r="BB162" s="29">
        <f>AT147</f>
        <v>88</v>
      </c>
      <c r="BD162" s="27">
        <v>10</v>
      </c>
      <c r="BE162" s="27">
        <v>4</v>
      </c>
      <c r="BF162" s="29">
        <f>AT253</f>
        <v>5</v>
      </c>
      <c r="BG162" s="29">
        <f>AW253</f>
        <v>7.6404944914629827</v>
      </c>
    </row>
    <row r="163" spans="15:59" x14ac:dyDescent="0.25">
      <c r="O163" s="50"/>
      <c r="P163" s="50"/>
      <c r="Q163" s="50"/>
      <c r="R163" s="50"/>
      <c r="S163" s="51"/>
      <c r="T163" s="51"/>
      <c r="U163" s="51"/>
      <c r="V163" s="51"/>
      <c r="W163" s="51"/>
      <c r="X163" s="51"/>
      <c r="Y163" s="51"/>
      <c r="Z163" s="51"/>
      <c r="AA163" s="51"/>
      <c r="AB163" s="51"/>
      <c r="AC163" s="51"/>
      <c r="AD163" s="51"/>
      <c r="AE163" s="51"/>
      <c r="AF163" s="51"/>
      <c r="AG163" s="51"/>
      <c r="AH163" s="51"/>
      <c r="AI163" s="51"/>
      <c r="AJ163" s="51"/>
      <c r="AK163" s="51"/>
      <c r="AM163" s="27">
        <v>20</v>
      </c>
      <c r="AN163" s="27">
        <v>120</v>
      </c>
      <c r="AO163" s="27">
        <v>95</v>
      </c>
      <c r="AP163" s="27">
        <v>96</v>
      </c>
      <c r="AQ163" s="29">
        <v>0</v>
      </c>
      <c r="AR163" s="27">
        <v>2</v>
      </c>
      <c r="AS163" s="29">
        <f>INDEX($AK$17:$AK$116,MATCH(AO163,$AA$17:$AA$116,0))</f>
        <v>1.5</v>
      </c>
      <c r="AT163" s="29">
        <f>INDEX($AK$17:$AK$116,MATCH(AP163,$AA$17:$AA$116,0))</f>
        <v>0.5</v>
      </c>
      <c r="AU163" s="29">
        <f t="shared" si="4"/>
        <v>1</v>
      </c>
      <c r="AV163" s="29">
        <f>0</f>
        <v>0</v>
      </c>
      <c r="AW163" s="29">
        <f>0</f>
        <v>0</v>
      </c>
      <c r="AZ163" s="28" t="s">
        <v>159</v>
      </c>
      <c r="BE163" s="28" t="s">
        <v>159</v>
      </c>
    </row>
    <row r="164" spans="15:59" x14ac:dyDescent="0.25">
      <c r="O164" s="50"/>
      <c r="P164" s="50"/>
      <c r="Q164" s="50"/>
      <c r="R164" s="50"/>
      <c r="S164" s="51"/>
      <c r="T164" s="51"/>
      <c r="U164" s="51"/>
      <c r="V164" s="51"/>
      <c r="W164" s="51"/>
      <c r="X164" s="51"/>
      <c r="Y164" s="51"/>
      <c r="Z164" s="51"/>
      <c r="AA164" s="51"/>
      <c r="AB164" s="51"/>
      <c r="AC164" s="51"/>
      <c r="AD164" s="51"/>
      <c r="AE164" s="51"/>
      <c r="AF164" s="51"/>
      <c r="AG164" s="51"/>
      <c r="AH164" s="51"/>
      <c r="AI164" s="51"/>
      <c r="AJ164" s="51"/>
      <c r="AK164" s="51"/>
      <c r="AM164" s="27">
        <v>21</v>
      </c>
      <c r="AN164" s="27">
        <v>121</v>
      </c>
      <c r="AO164" s="27">
        <v>27</v>
      </c>
      <c r="AP164" s="27">
        <v>28</v>
      </c>
      <c r="AQ164" s="29">
        <v>0.30292880770767577</v>
      </c>
      <c r="AR164" s="27">
        <v>2</v>
      </c>
      <c r="AS164" s="29">
        <f>INDEX($AK$17:$AK$116,MATCH(AO164,$AA$17:$AA$116,0))</f>
        <v>73.5</v>
      </c>
      <c r="AT164" s="29">
        <f>INDEX($AK$17:$AK$116,MATCH(AP164,$AA$17:$AA$116,0))</f>
        <v>72.5</v>
      </c>
      <c r="AU164" s="29">
        <f t="shared" si="4"/>
        <v>73</v>
      </c>
      <c r="AV164" s="29">
        <f>0</f>
        <v>0</v>
      </c>
      <c r="AW164" s="29">
        <f>0</f>
        <v>0</v>
      </c>
      <c r="AY164" s="27">
        <v>105</v>
      </c>
      <c r="AZ164" s="27">
        <v>1</v>
      </c>
      <c r="BA164" s="29">
        <f>$AQ$242-AV148</f>
        <v>22.334220944888109</v>
      </c>
      <c r="BB164" s="29">
        <f>AS148</f>
        <v>58.5</v>
      </c>
      <c r="BD164" s="27">
        <v>11</v>
      </c>
      <c r="BE164" s="27">
        <v>1</v>
      </c>
      <c r="BF164" s="29">
        <f>AS254</f>
        <v>1.25</v>
      </c>
      <c r="BG164" s="29">
        <f>AV254</f>
        <v>8.1643668915705181</v>
      </c>
    </row>
    <row r="165" spans="15:59" x14ac:dyDescent="0.25">
      <c r="O165" s="50" t="s">
        <v>218</v>
      </c>
      <c r="P165" s="50"/>
      <c r="Q165" s="50"/>
      <c r="R165" s="50"/>
      <c r="S165" s="51" t="s">
        <v>219</v>
      </c>
      <c r="T165" s="51"/>
      <c r="U165" s="51"/>
      <c r="V165" s="51"/>
      <c r="W165" s="51"/>
      <c r="X165" s="51"/>
      <c r="Y165" s="51"/>
      <c r="Z165" s="51"/>
      <c r="AA165" s="51"/>
      <c r="AB165" s="51"/>
      <c r="AC165" s="51"/>
      <c r="AD165" s="51"/>
      <c r="AE165" s="51"/>
      <c r="AF165" s="51"/>
      <c r="AG165" s="51"/>
      <c r="AH165" s="51"/>
      <c r="AI165" s="51"/>
      <c r="AJ165" s="51"/>
      <c r="AK165" s="51"/>
      <c r="AM165" s="27">
        <v>22</v>
      </c>
      <c r="AN165" s="27">
        <v>122</v>
      </c>
      <c r="AO165" s="27">
        <v>45</v>
      </c>
      <c r="AP165" s="27">
        <v>46</v>
      </c>
      <c r="AQ165" s="29">
        <v>0.47065207893742089</v>
      </c>
      <c r="AR165" s="27">
        <v>2</v>
      </c>
      <c r="AS165" s="29">
        <f>INDEX($AK$17:$AK$116,MATCH(AO165,$AA$17:$AA$116,0))</f>
        <v>55.5</v>
      </c>
      <c r="AT165" s="29">
        <f>INDEX($AK$17:$AK$116,MATCH(AP165,$AA$17:$AA$116,0))</f>
        <v>54.5</v>
      </c>
      <c r="AU165" s="29">
        <f t="shared" si="4"/>
        <v>55</v>
      </c>
      <c r="AV165" s="29">
        <f>0</f>
        <v>0</v>
      </c>
      <c r="AW165" s="29">
        <f>0</f>
        <v>0</v>
      </c>
      <c r="AY165" s="27">
        <v>105</v>
      </c>
      <c r="AZ165" s="27">
        <v>2</v>
      </c>
      <c r="BA165" s="29">
        <f>$AQ$242-AQ148</f>
        <v>22.334220944888109</v>
      </c>
      <c r="BB165" s="29">
        <f>AS148</f>
        <v>58.5</v>
      </c>
      <c r="BD165" s="27">
        <v>11</v>
      </c>
      <c r="BE165" s="27">
        <v>2</v>
      </c>
      <c r="BF165" s="29">
        <f>AS254</f>
        <v>1.25</v>
      </c>
      <c r="BG165" s="29">
        <f>AQ254</f>
        <v>25.94813979293534</v>
      </c>
    </row>
    <row r="166" spans="15:59" x14ac:dyDescent="0.25">
      <c r="O166" s="50"/>
      <c r="P166" s="50"/>
      <c r="Q166" s="50"/>
      <c r="R166" s="50"/>
      <c r="S166" s="51"/>
      <c r="T166" s="51"/>
      <c r="U166" s="51"/>
      <c r="V166" s="51"/>
      <c r="W166" s="51"/>
      <c r="X166" s="51"/>
      <c r="Y166" s="51"/>
      <c r="Z166" s="51"/>
      <c r="AA166" s="51"/>
      <c r="AB166" s="51"/>
      <c r="AC166" s="51"/>
      <c r="AD166" s="51"/>
      <c r="AE166" s="51"/>
      <c r="AF166" s="51"/>
      <c r="AG166" s="51"/>
      <c r="AH166" s="51"/>
      <c r="AI166" s="51"/>
      <c r="AJ166" s="51"/>
      <c r="AK166" s="51"/>
      <c r="AM166" s="27">
        <v>23</v>
      </c>
      <c r="AN166" s="27">
        <v>123</v>
      </c>
      <c r="AO166" s="27">
        <v>23</v>
      </c>
      <c r="AP166" s="27">
        <v>24</v>
      </c>
      <c r="AQ166" s="29">
        <v>0.47065207893742089</v>
      </c>
      <c r="AR166" s="27">
        <v>2</v>
      </c>
      <c r="AS166" s="29">
        <f>INDEX($AK$17:$AK$116,MATCH(AO166,$AA$17:$AA$116,0))</f>
        <v>77.5</v>
      </c>
      <c r="AT166" s="29">
        <f>INDEX($AK$17:$AK$116,MATCH(AP166,$AA$17:$AA$116,0))</f>
        <v>76.5</v>
      </c>
      <c r="AU166" s="29">
        <f t="shared" si="4"/>
        <v>77</v>
      </c>
      <c r="AV166" s="29">
        <f>0</f>
        <v>0</v>
      </c>
      <c r="AW166" s="29">
        <f>0</f>
        <v>0</v>
      </c>
      <c r="AY166" s="27">
        <v>105</v>
      </c>
      <c r="AZ166" s="27">
        <v>3</v>
      </c>
      <c r="BA166" s="29">
        <f>$AQ$242-AQ148</f>
        <v>22.334220944888109</v>
      </c>
      <c r="BB166" s="29">
        <f>AT148</f>
        <v>57.5</v>
      </c>
      <c r="BD166" s="27">
        <v>11</v>
      </c>
      <c r="BE166" s="27">
        <v>3</v>
      </c>
      <c r="BF166" s="29">
        <f>AT254</f>
        <v>4.25</v>
      </c>
      <c r="BG166" s="29">
        <f>AQ254</f>
        <v>25.94813979293534</v>
      </c>
    </row>
    <row r="167" spans="15:59" x14ac:dyDescent="0.25">
      <c r="O167" s="50"/>
      <c r="P167" s="50"/>
      <c r="Q167" s="50"/>
      <c r="R167" s="50"/>
      <c r="S167" s="51"/>
      <c r="T167" s="51"/>
      <c r="U167" s="51"/>
      <c r="V167" s="51"/>
      <c r="W167" s="51"/>
      <c r="X167" s="51"/>
      <c r="Y167" s="51"/>
      <c r="Z167" s="51"/>
      <c r="AA167" s="51"/>
      <c r="AB167" s="51"/>
      <c r="AC167" s="51"/>
      <c r="AD167" s="51"/>
      <c r="AE167" s="51"/>
      <c r="AF167" s="51"/>
      <c r="AG167" s="51"/>
      <c r="AH167" s="51"/>
      <c r="AI167" s="51"/>
      <c r="AJ167" s="51"/>
      <c r="AK167" s="51"/>
      <c r="AM167" s="27">
        <v>24</v>
      </c>
      <c r="AN167" s="27">
        <v>124</v>
      </c>
      <c r="AO167" s="27">
        <v>76</v>
      </c>
      <c r="AP167" s="27">
        <v>77</v>
      </c>
      <c r="AQ167" s="29">
        <v>0.47065207893742089</v>
      </c>
      <c r="AR167" s="27">
        <v>2</v>
      </c>
      <c r="AS167" s="29">
        <f>INDEX($AK$17:$AK$116,MATCH(AO167,$AA$17:$AA$116,0))</f>
        <v>24.5</v>
      </c>
      <c r="AT167" s="29">
        <f>INDEX($AK$17:$AK$116,MATCH(AP167,$AA$17:$AA$116,0))</f>
        <v>23.5</v>
      </c>
      <c r="AU167" s="29">
        <f t="shared" si="4"/>
        <v>24</v>
      </c>
      <c r="AV167" s="29">
        <f>0</f>
        <v>0</v>
      </c>
      <c r="AW167" s="29">
        <f>0</f>
        <v>0</v>
      </c>
      <c r="AY167" s="27">
        <v>105</v>
      </c>
      <c r="AZ167" s="27">
        <v>4</v>
      </c>
      <c r="BA167" s="29">
        <f>$AQ$242-AW148</f>
        <v>22.334220944888109</v>
      </c>
      <c r="BB167" s="29">
        <f>AT148</f>
        <v>57.5</v>
      </c>
      <c r="BD167" s="27">
        <v>11</v>
      </c>
      <c r="BE167" s="27">
        <v>4</v>
      </c>
      <c r="BF167" s="29">
        <f>AT254</f>
        <v>4.25</v>
      </c>
      <c r="BG167" s="29">
        <f>AW254</f>
        <v>12.398770696858829</v>
      </c>
    </row>
    <row r="168" spans="15:59" x14ac:dyDescent="0.25">
      <c r="O168" s="50" t="s">
        <v>220</v>
      </c>
      <c r="P168" s="50"/>
      <c r="Q168" s="50"/>
      <c r="R168" s="50"/>
      <c r="S168" s="51" t="s">
        <v>221</v>
      </c>
      <c r="T168" s="51"/>
      <c r="U168" s="51"/>
      <c r="V168" s="51"/>
      <c r="W168" s="51"/>
      <c r="X168" s="51"/>
      <c r="Y168" s="51"/>
      <c r="Z168" s="51"/>
      <c r="AA168" s="51"/>
      <c r="AB168" s="51"/>
      <c r="AC168" s="51"/>
      <c r="AD168" s="51"/>
      <c r="AE168" s="51"/>
      <c r="AF168" s="51"/>
      <c r="AG168" s="51"/>
      <c r="AH168" s="51"/>
      <c r="AI168" s="51"/>
      <c r="AJ168" s="51"/>
      <c r="AK168" s="51"/>
      <c r="AM168" s="27">
        <v>25</v>
      </c>
      <c r="AN168" s="27">
        <v>125</v>
      </c>
      <c r="AO168" s="27">
        <v>68</v>
      </c>
      <c r="AP168" s="27">
        <v>69</v>
      </c>
      <c r="AQ168" s="29">
        <v>0.470652078937421</v>
      </c>
      <c r="AR168" s="27">
        <v>2</v>
      </c>
      <c r="AS168" s="29">
        <f>INDEX($AK$17:$AK$116,MATCH(AO168,$AA$17:$AA$116,0))</f>
        <v>32.5</v>
      </c>
      <c r="AT168" s="29">
        <f>INDEX($AK$17:$AK$116,MATCH(AP168,$AA$17:$AA$116,0))</f>
        <v>31.5</v>
      </c>
      <c r="AU168" s="29">
        <f t="shared" si="4"/>
        <v>32</v>
      </c>
      <c r="AV168" s="29">
        <f>0</f>
        <v>0</v>
      </c>
      <c r="AW168" s="29">
        <f>0</f>
        <v>0</v>
      </c>
      <c r="AZ168" s="28" t="s">
        <v>159</v>
      </c>
      <c r="BE168" s="28" t="s">
        <v>159</v>
      </c>
    </row>
    <row r="169" spans="15:59" x14ac:dyDescent="0.25">
      <c r="O169" s="50"/>
      <c r="P169" s="50"/>
      <c r="Q169" s="50"/>
      <c r="R169" s="50"/>
      <c r="S169" s="51"/>
      <c r="T169" s="51"/>
      <c r="U169" s="51"/>
      <c r="V169" s="51"/>
      <c r="W169" s="51"/>
      <c r="X169" s="51"/>
      <c r="Y169" s="51"/>
      <c r="Z169" s="51"/>
      <c r="AA169" s="51"/>
      <c r="AB169" s="51"/>
      <c r="AC169" s="51"/>
      <c r="AD169" s="51"/>
      <c r="AE169" s="51"/>
      <c r="AF169" s="51"/>
      <c r="AG169" s="51"/>
      <c r="AH169" s="51"/>
      <c r="AI169" s="51"/>
      <c r="AJ169" s="51"/>
      <c r="AK169" s="51"/>
      <c r="AM169" s="27">
        <v>26</v>
      </c>
      <c r="AN169" s="27">
        <v>126</v>
      </c>
      <c r="AO169" s="27">
        <v>79</v>
      </c>
      <c r="AP169" s="27">
        <v>80</v>
      </c>
      <c r="AQ169" s="29">
        <v>0.49954432567757562</v>
      </c>
      <c r="AR169" s="27">
        <v>2</v>
      </c>
      <c r="AS169" s="29">
        <f>INDEX($AK$17:$AK$116,MATCH(AO169,$AA$17:$AA$116,0))</f>
        <v>21.5</v>
      </c>
      <c r="AT169" s="29">
        <f>INDEX($AK$17:$AK$116,MATCH(AP169,$AA$17:$AA$116,0))</f>
        <v>20.5</v>
      </c>
      <c r="AU169" s="29">
        <f t="shared" si="4"/>
        <v>21</v>
      </c>
      <c r="AV169" s="29">
        <f>0</f>
        <v>0</v>
      </c>
      <c r="AW169" s="29">
        <f>0</f>
        <v>0</v>
      </c>
      <c r="AY169" s="27">
        <v>106</v>
      </c>
      <c r="AZ169" s="27">
        <v>1</v>
      </c>
      <c r="BA169" s="29">
        <f>$AQ$242-AV149</f>
        <v>22.334220944888109</v>
      </c>
      <c r="BB169" s="29">
        <f>AS149</f>
        <v>68.5</v>
      </c>
    </row>
    <row r="170" spans="15:59" x14ac:dyDescent="0.25">
      <c r="O170" s="50"/>
      <c r="P170" s="50"/>
      <c r="Q170" s="50"/>
      <c r="R170" s="50"/>
      <c r="S170" s="51"/>
      <c r="T170" s="51"/>
      <c r="U170" s="51"/>
      <c r="V170" s="51"/>
      <c r="W170" s="51"/>
      <c r="X170" s="51"/>
      <c r="Y170" s="51"/>
      <c r="Z170" s="51"/>
      <c r="AA170" s="51"/>
      <c r="AB170" s="51"/>
      <c r="AC170" s="51"/>
      <c r="AD170" s="51"/>
      <c r="AE170" s="51"/>
      <c r="AF170" s="51"/>
      <c r="AG170" s="51"/>
      <c r="AH170" s="51"/>
      <c r="AI170" s="51"/>
      <c r="AJ170" s="51"/>
      <c r="AK170" s="51"/>
      <c r="AM170" s="27">
        <v>27</v>
      </c>
      <c r="AN170" s="27">
        <v>127</v>
      </c>
      <c r="AO170" s="27">
        <v>86</v>
      </c>
      <c r="AP170" s="27">
        <v>87</v>
      </c>
      <c r="AQ170" s="29">
        <v>0.50227520860274089</v>
      </c>
      <c r="AR170" s="27">
        <v>2</v>
      </c>
      <c r="AS170" s="29">
        <f>INDEX($AK$17:$AK$116,MATCH(AO170,$AA$17:$AA$116,0))</f>
        <v>14.5</v>
      </c>
      <c r="AT170" s="29">
        <f>INDEX($AK$17:$AK$116,MATCH(AP170,$AA$17:$AA$116,0))</f>
        <v>13.5</v>
      </c>
      <c r="AU170" s="29">
        <f t="shared" si="4"/>
        <v>14</v>
      </c>
      <c r="AV170" s="29">
        <f>0</f>
        <v>0</v>
      </c>
      <c r="AW170" s="29">
        <f>0</f>
        <v>0</v>
      </c>
      <c r="AY170" s="27">
        <v>106</v>
      </c>
      <c r="AZ170" s="27">
        <v>2</v>
      </c>
      <c r="BA170" s="29">
        <f>$AQ$242-AQ149</f>
        <v>22.334220944888109</v>
      </c>
      <c r="BB170" s="29">
        <f>AS149</f>
        <v>68.5</v>
      </c>
    </row>
    <row r="171" spans="15:59" x14ac:dyDescent="0.25">
      <c r="O171" s="50" t="s">
        <v>222</v>
      </c>
      <c r="P171" s="50"/>
      <c r="Q171" s="50"/>
      <c r="R171" s="50"/>
      <c r="S171" s="51" t="s">
        <v>223</v>
      </c>
      <c r="T171" s="51"/>
      <c r="U171" s="51"/>
      <c r="V171" s="51"/>
      <c r="W171" s="51"/>
      <c r="X171" s="51"/>
      <c r="Y171" s="51"/>
      <c r="Z171" s="51"/>
      <c r="AA171" s="51"/>
      <c r="AB171" s="51"/>
      <c r="AC171" s="51"/>
      <c r="AD171" s="51"/>
      <c r="AE171" s="51"/>
      <c r="AF171" s="51"/>
      <c r="AG171" s="51"/>
      <c r="AH171" s="51"/>
      <c r="AI171" s="51"/>
      <c r="AJ171" s="51"/>
      <c r="AK171" s="51"/>
      <c r="AM171" s="27">
        <v>28</v>
      </c>
      <c r="AN171" s="27">
        <v>128</v>
      </c>
      <c r="AO171" s="27">
        <v>65</v>
      </c>
      <c r="AP171" s="27">
        <v>66</v>
      </c>
      <c r="AQ171" s="29">
        <v>0.5334636592143347</v>
      </c>
      <c r="AR171" s="27">
        <v>2</v>
      </c>
      <c r="AS171" s="29">
        <f>INDEX($AK$17:$AK$116,MATCH(AO171,$AA$17:$AA$116,0))</f>
        <v>35.5</v>
      </c>
      <c r="AT171" s="29">
        <f>INDEX($AK$17:$AK$116,MATCH(AP171,$AA$17:$AA$116,0))</f>
        <v>34.5</v>
      </c>
      <c r="AU171" s="29">
        <f t="shared" si="4"/>
        <v>35</v>
      </c>
      <c r="AV171" s="29">
        <f>0</f>
        <v>0</v>
      </c>
      <c r="AW171" s="29">
        <f>0</f>
        <v>0</v>
      </c>
      <c r="AY171" s="27">
        <v>106</v>
      </c>
      <c r="AZ171" s="27">
        <v>3</v>
      </c>
      <c r="BA171" s="29">
        <f>$AQ$242-AQ149</f>
        <v>22.334220944888109</v>
      </c>
      <c r="BB171" s="29">
        <f>AT149</f>
        <v>67.5</v>
      </c>
    </row>
    <row r="172" spans="15:59" x14ac:dyDescent="0.25">
      <c r="O172" s="50"/>
      <c r="P172" s="50"/>
      <c r="Q172" s="50"/>
      <c r="R172" s="50"/>
      <c r="S172" s="51"/>
      <c r="T172" s="51"/>
      <c r="U172" s="51"/>
      <c r="V172" s="51"/>
      <c r="W172" s="51"/>
      <c r="X172" s="51"/>
      <c r="Y172" s="51"/>
      <c r="Z172" s="51"/>
      <c r="AA172" s="51"/>
      <c r="AB172" s="51"/>
      <c r="AC172" s="51"/>
      <c r="AD172" s="51"/>
      <c r="AE172" s="51"/>
      <c r="AF172" s="51"/>
      <c r="AG172" s="51"/>
      <c r="AH172" s="51"/>
      <c r="AI172" s="51"/>
      <c r="AJ172" s="51"/>
      <c r="AK172" s="51"/>
      <c r="AM172" s="27">
        <v>29</v>
      </c>
      <c r="AN172" s="27">
        <v>129</v>
      </c>
      <c r="AO172" s="27">
        <v>40</v>
      </c>
      <c r="AP172" s="27">
        <v>41</v>
      </c>
      <c r="AQ172" s="29">
        <v>0.53346365921433481</v>
      </c>
      <c r="AR172" s="27">
        <v>2</v>
      </c>
      <c r="AS172" s="29">
        <f>INDEX($AK$17:$AK$116,MATCH(AO172,$AA$17:$AA$116,0))</f>
        <v>60.5</v>
      </c>
      <c r="AT172" s="29">
        <f>INDEX($AK$17:$AK$116,MATCH(AP172,$AA$17:$AA$116,0))</f>
        <v>59.5</v>
      </c>
      <c r="AU172" s="29">
        <f t="shared" si="4"/>
        <v>60</v>
      </c>
      <c r="AV172" s="29">
        <f>0</f>
        <v>0</v>
      </c>
      <c r="AW172" s="29">
        <f>0</f>
        <v>0</v>
      </c>
      <c r="AY172" s="27">
        <v>106</v>
      </c>
      <c r="AZ172" s="27">
        <v>4</v>
      </c>
      <c r="BA172" s="29">
        <f>$AQ$242-AW149</f>
        <v>22.334220944888109</v>
      </c>
      <c r="BB172" s="29">
        <f>AT149</f>
        <v>67.5</v>
      </c>
    </row>
    <row r="173" spans="15:59" x14ac:dyDescent="0.25">
      <c r="O173" s="50"/>
      <c r="P173" s="50"/>
      <c r="Q173" s="50"/>
      <c r="R173" s="50"/>
      <c r="S173" s="51"/>
      <c r="T173" s="51"/>
      <c r="U173" s="51"/>
      <c r="V173" s="51"/>
      <c r="W173" s="51"/>
      <c r="X173" s="51"/>
      <c r="Y173" s="51"/>
      <c r="Z173" s="51"/>
      <c r="AA173" s="51"/>
      <c r="AB173" s="51"/>
      <c r="AC173" s="51"/>
      <c r="AD173" s="51"/>
      <c r="AE173" s="51"/>
      <c r="AF173" s="51"/>
      <c r="AG173" s="51"/>
      <c r="AH173" s="51"/>
      <c r="AI173" s="51"/>
      <c r="AJ173" s="51"/>
      <c r="AK173" s="51"/>
      <c r="AM173" s="27">
        <v>30</v>
      </c>
      <c r="AN173" s="27">
        <v>130</v>
      </c>
      <c r="AO173" s="27">
        <v>89</v>
      </c>
      <c r="AP173" s="27">
        <v>90</v>
      </c>
      <c r="AQ173" s="29">
        <v>0.54124497670219096</v>
      </c>
      <c r="AR173" s="27">
        <v>2</v>
      </c>
      <c r="AS173" s="29">
        <f>INDEX($AK$17:$AK$116,MATCH(AO173,$AA$17:$AA$116,0))</f>
        <v>11.5</v>
      </c>
      <c r="AT173" s="29">
        <f>INDEX($AK$17:$AK$116,MATCH(AP173,$AA$17:$AA$116,0))</f>
        <v>10.5</v>
      </c>
      <c r="AU173" s="29">
        <f t="shared" si="4"/>
        <v>11</v>
      </c>
      <c r="AV173" s="29">
        <f>0</f>
        <v>0</v>
      </c>
      <c r="AW173" s="29">
        <f>0</f>
        <v>0</v>
      </c>
      <c r="AZ173" s="28" t="s">
        <v>159</v>
      </c>
    </row>
    <row r="174" spans="15:59" x14ac:dyDescent="0.25">
      <c r="O174" s="50" t="s">
        <v>224</v>
      </c>
      <c r="P174" s="50"/>
      <c r="Q174" s="50"/>
      <c r="R174" s="50"/>
      <c r="S174" s="51" t="s">
        <v>225</v>
      </c>
      <c r="T174" s="51"/>
      <c r="U174" s="51"/>
      <c r="V174" s="51"/>
      <c r="W174" s="51"/>
      <c r="X174" s="51"/>
      <c r="Y174" s="51"/>
      <c r="Z174" s="51"/>
      <c r="AA174" s="51"/>
      <c r="AB174" s="51"/>
      <c r="AC174" s="51"/>
      <c r="AD174" s="51"/>
      <c r="AE174" s="51"/>
      <c r="AF174" s="51"/>
      <c r="AG174" s="51"/>
      <c r="AH174" s="51"/>
      <c r="AI174" s="51"/>
      <c r="AJ174" s="51"/>
      <c r="AK174" s="51"/>
      <c r="AM174" s="27">
        <v>31</v>
      </c>
      <c r="AN174" s="27">
        <v>131</v>
      </c>
      <c r="AO174" s="27">
        <v>98</v>
      </c>
      <c r="AP174" s="27">
        <v>118</v>
      </c>
      <c r="AQ174" s="29">
        <v>0.54346220893835373</v>
      </c>
      <c r="AR174" s="27">
        <v>3</v>
      </c>
      <c r="AS174" s="29">
        <f>INDEX($AK$17:$AK$116,MATCH(AO174,$AA$17:$AA$116,0))</f>
        <v>6.5</v>
      </c>
      <c r="AT174" s="29">
        <f>AU161</f>
        <v>5</v>
      </c>
      <c r="AU174" s="29">
        <f t="shared" si="4"/>
        <v>5.75</v>
      </c>
      <c r="AV174" s="29">
        <f>0</f>
        <v>0</v>
      </c>
      <c r="AW174" s="29">
        <f>AQ161</f>
        <v>0</v>
      </c>
      <c r="AY174" s="27">
        <v>107</v>
      </c>
      <c r="AZ174" s="27">
        <v>1</v>
      </c>
      <c r="BA174" s="29">
        <f>$AQ$242-AV150</f>
        <v>22.334220944888109</v>
      </c>
      <c r="BB174" s="29">
        <f>AS150</f>
        <v>69.5</v>
      </c>
    </row>
    <row r="175" spans="15:59" x14ac:dyDescent="0.25">
      <c r="O175" s="50"/>
      <c r="P175" s="50"/>
      <c r="Q175" s="50"/>
      <c r="R175" s="50"/>
      <c r="S175" s="51"/>
      <c r="T175" s="51"/>
      <c r="U175" s="51"/>
      <c r="V175" s="51"/>
      <c r="W175" s="51"/>
      <c r="X175" s="51"/>
      <c r="Y175" s="51"/>
      <c r="Z175" s="51"/>
      <c r="AA175" s="51"/>
      <c r="AB175" s="51"/>
      <c r="AC175" s="51"/>
      <c r="AD175" s="51"/>
      <c r="AE175" s="51"/>
      <c r="AF175" s="51"/>
      <c r="AG175" s="51"/>
      <c r="AH175" s="51"/>
      <c r="AI175" s="51"/>
      <c r="AJ175" s="51"/>
      <c r="AK175" s="51"/>
      <c r="AM175" s="27">
        <v>32</v>
      </c>
      <c r="AN175" s="27">
        <v>132</v>
      </c>
      <c r="AO175" s="27">
        <v>93</v>
      </c>
      <c r="AP175" s="27">
        <v>120</v>
      </c>
      <c r="AQ175" s="29">
        <v>0.54346220893835373</v>
      </c>
      <c r="AR175" s="27">
        <v>3</v>
      </c>
      <c r="AS175" s="29">
        <f>INDEX($AK$17:$AK$116,MATCH(AO175,$AA$17:$AA$116,0))</f>
        <v>2.5</v>
      </c>
      <c r="AT175" s="29">
        <f>AU163</f>
        <v>1</v>
      </c>
      <c r="AU175" s="29">
        <f t="shared" si="4"/>
        <v>1.75</v>
      </c>
      <c r="AV175" s="29">
        <f>0</f>
        <v>0</v>
      </c>
      <c r="AW175" s="29">
        <f>AQ163</f>
        <v>0</v>
      </c>
      <c r="AY175" s="27">
        <v>107</v>
      </c>
      <c r="AZ175" s="27">
        <v>2</v>
      </c>
      <c r="BA175" s="29">
        <f>$AQ$242-AQ150</f>
        <v>22.334220944888109</v>
      </c>
      <c r="BB175" s="29">
        <f>AS150</f>
        <v>69.5</v>
      </c>
    </row>
    <row r="176" spans="15:59" x14ac:dyDescent="0.25">
      <c r="O176" s="50"/>
      <c r="P176" s="50"/>
      <c r="Q176" s="50"/>
      <c r="R176" s="50"/>
      <c r="S176" s="51"/>
      <c r="T176" s="51"/>
      <c r="U176" s="51"/>
      <c r="V176" s="51"/>
      <c r="W176" s="51"/>
      <c r="X176" s="51"/>
      <c r="Y176" s="51"/>
      <c r="Z176" s="51"/>
      <c r="AA176" s="51"/>
      <c r="AB176" s="51"/>
      <c r="AC176" s="51"/>
      <c r="AD176" s="51"/>
      <c r="AE176" s="51"/>
      <c r="AF176" s="51"/>
      <c r="AG176" s="51"/>
      <c r="AH176" s="51"/>
      <c r="AI176" s="51"/>
      <c r="AJ176" s="51"/>
      <c r="AK176" s="51"/>
      <c r="AM176" s="27">
        <v>33</v>
      </c>
      <c r="AN176" s="27">
        <v>133</v>
      </c>
      <c r="AO176" s="27">
        <v>70</v>
      </c>
      <c r="AP176" s="27">
        <v>71</v>
      </c>
      <c r="AQ176" s="29">
        <v>0.55811129549406657</v>
      </c>
      <c r="AR176" s="27">
        <v>2</v>
      </c>
      <c r="AS176" s="29">
        <f>INDEX($AK$17:$AK$116,MATCH(AO176,$AA$17:$AA$116,0))</f>
        <v>30.5</v>
      </c>
      <c r="AT176" s="29">
        <f>INDEX($AK$17:$AK$116,MATCH(AP176,$AA$17:$AA$116,0))</f>
        <v>29.5</v>
      </c>
      <c r="AU176" s="29">
        <f t="shared" ref="AU176:AU207" si="5">AVERAGE(AS176:AT176)</f>
        <v>30</v>
      </c>
      <c r="AV176" s="29">
        <f>0</f>
        <v>0</v>
      </c>
      <c r="AW176" s="29">
        <f>0</f>
        <v>0</v>
      </c>
      <c r="AY176" s="27">
        <v>107</v>
      </c>
      <c r="AZ176" s="27">
        <v>3</v>
      </c>
      <c r="BA176" s="29">
        <f>$AQ$242-AQ150</f>
        <v>22.334220944888109</v>
      </c>
      <c r="BB176" s="29">
        <f>AT150</f>
        <v>68</v>
      </c>
    </row>
    <row r="177" spans="15:54" x14ac:dyDescent="0.25">
      <c r="O177" s="50" t="s">
        <v>226</v>
      </c>
      <c r="P177" s="50"/>
      <c r="Q177" s="50"/>
      <c r="R177" s="50"/>
      <c r="S177" s="51" t="s">
        <v>227</v>
      </c>
      <c r="T177" s="51"/>
      <c r="U177" s="51"/>
      <c r="V177" s="51"/>
      <c r="W177" s="51"/>
      <c r="X177" s="51"/>
      <c r="Y177" s="51"/>
      <c r="Z177" s="51"/>
      <c r="AA177" s="51"/>
      <c r="AB177" s="51"/>
      <c r="AC177" s="51"/>
      <c r="AD177" s="51"/>
      <c r="AE177" s="51"/>
      <c r="AF177" s="51"/>
      <c r="AG177" s="51"/>
      <c r="AH177" s="51"/>
      <c r="AI177" s="51"/>
      <c r="AJ177" s="51"/>
      <c r="AK177" s="51"/>
      <c r="AM177" s="27">
        <v>34</v>
      </c>
      <c r="AN177" s="27">
        <v>134</v>
      </c>
      <c r="AO177" s="27">
        <v>2</v>
      </c>
      <c r="AP177" s="27">
        <v>102</v>
      </c>
      <c r="AQ177" s="29">
        <v>0.5764287198883955</v>
      </c>
      <c r="AR177" s="27">
        <v>4</v>
      </c>
      <c r="AS177" s="29">
        <f>INDEX($AK$17:$AK$116,MATCH(AO177,$AA$17:$AA$116,0))</f>
        <v>98.5</v>
      </c>
      <c r="AT177" s="29">
        <f>AU145</f>
        <v>96.75</v>
      </c>
      <c r="AU177" s="29">
        <f t="shared" si="5"/>
        <v>97.625</v>
      </c>
      <c r="AV177" s="29">
        <f>0</f>
        <v>0</v>
      </c>
      <c r="AW177" s="29">
        <f>AQ145</f>
        <v>0</v>
      </c>
      <c r="AY177" s="27">
        <v>107</v>
      </c>
      <c r="AZ177" s="27">
        <v>4</v>
      </c>
      <c r="BA177" s="29">
        <f>$AQ$242-AW150</f>
        <v>22.334220944888109</v>
      </c>
      <c r="BB177" s="29">
        <f>AT150</f>
        <v>68</v>
      </c>
    </row>
    <row r="178" spans="15:54" x14ac:dyDescent="0.25">
      <c r="O178" s="50"/>
      <c r="P178" s="50"/>
      <c r="Q178" s="50"/>
      <c r="R178" s="50"/>
      <c r="S178" s="51"/>
      <c r="T178" s="51"/>
      <c r="U178" s="51"/>
      <c r="V178" s="51"/>
      <c r="W178" s="51"/>
      <c r="X178" s="51"/>
      <c r="Y178" s="51"/>
      <c r="Z178" s="51"/>
      <c r="AA178" s="51"/>
      <c r="AB178" s="51"/>
      <c r="AC178" s="51"/>
      <c r="AD178" s="51"/>
      <c r="AE178" s="51"/>
      <c r="AF178" s="51"/>
      <c r="AG178" s="51"/>
      <c r="AH178" s="51"/>
      <c r="AI178" s="51"/>
      <c r="AJ178" s="51"/>
      <c r="AK178" s="51"/>
      <c r="AM178" s="27">
        <v>35</v>
      </c>
      <c r="AN178" s="27">
        <v>135</v>
      </c>
      <c r="AO178" s="27">
        <v>26</v>
      </c>
      <c r="AP178" s="27">
        <v>121</v>
      </c>
      <c r="AQ178" s="29">
        <v>0.58903578738644014</v>
      </c>
      <c r="AR178" s="27">
        <v>3</v>
      </c>
      <c r="AS178" s="29">
        <f>INDEX($AK$17:$AK$116,MATCH(AO178,$AA$17:$AA$116,0))</f>
        <v>74.5</v>
      </c>
      <c r="AT178" s="29">
        <f>AU164</f>
        <v>73</v>
      </c>
      <c r="AU178" s="29">
        <f t="shared" si="5"/>
        <v>73.75</v>
      </c>
      <c r="AV178" s="29">
        <f>0</f>
        <v>0</v>
      </c>
      <c r="AW178" s="29">
        <f>AQ164</f>
        <v>0.30292880770767577</v>
      </c>
      <c r="AZ178" s="28" t="s">
        <v>159</v>
      </c>
    </row>
    <row r="179" spans="15:54" x14ac:dyDescent="0.25">
      <c r="O179" s="50"/>
      <c r="P179" s="50"/>
      <c r="Q179" s="50"/>
      <c r="R179" s="50"/>
      <c r="S179" s="51"/>
      <c r="T179" s="51"/>
      <c r="U179" s="51"/>
      <c r="V179" s="51"/>
      <c r="W179" s="51"/>
      <c r="X179" s="51"/>
      <c r="Y179" s="51"/>
      <c r="Z179" s="51"/>
      <c r="AA179" s="51"/>
      <c r="AB179" s="51"/>
      <c r="AC179" s="51"/>
      <c r="AD179" s="51"/>
      <c r="AE179" s="51"/>
      <c r="AF179" s="51"/>
      <c r="AG179" s="51"/>
      <c r="AH179" s="51"/>
      <c r="AI179" s="51"/>
      <c r="AJ179" s="51"/>
      <c r="AK179" s="51"/>
      <c r="AM179" s="27">
        <v>36</v>
      </c>
      <c r="AN179" s="27">
        <v>136</v>
      </c>
      <c r="AO179" s="27">
        <v>29</v>
      </c>
      <c r="AP179" s="27">
        <v>108</v>
      </c>
      <c r="AQ179" s="29">
        <v>0.59533302197424443</v>
      </c>
      <c r="AR179" s="27">
        <v>5</v>
      </c>
      <c r="AS179" s="29">
        <f>INDEX($AK$17:$AK$116,MATCH(AO179,$AA$17:$AA$116,0))</f>
        <v>71.5</v>
      </c>
      <c r="AT179" s="29">
        <f>AU151</f>
        <v>69.625</v>
      </c>
      <c r="AU179" s="29">
        <f t="shared" si="5"/>
        <v>70.5625</v>
      </c>
      <c r="AV179" s="29">
        <f>0</f>
        <v>0</v>
      </c>
      <c r="AW179" s="29">
        <f>AQ151</f>
        <v>0</v>
      </c>
      <c r="AY179" s="27">
        <v>108</v>
      </c>
      <c r="AZ179" s="27">
        <v>1</v>
      </c>
      <c r="BA179" s="29">
        <f>$AQ$242-AV151</f>
        <v>22.334220944888109</v>
      </c>
      <c r="BB179" s="29">
        <f>AS151</f>
        <v>70.5</v>
      </c>
    </row>
    <row r="180" spans="15:54" x14ac:dyDescent="0.25">
      <c r="O180" s="50" t="s">
        <v>228</v>
      </c>
      <c r="P180" s="50"/>
      <c r="Q180" s="50"/>
      <c r="R180" s="50"/>
      <c r="S180" s="51" t="s">
        <v>229</v>
      </c>
      <c r="T180" s="51"/>
      <c r="U180" s="51"/>
      <c r="V180" s="51"/>
      <c r="W180" s="51"/>
      <c r="X180" s="51"/>
      <c r="Y180" s="51"/>
      <c r="Z180" s="51"/>
      <c r="AA180" s="51"/>
      <c r="AB180" s="51"/>
      <c r="AC180" s="51"/>
      <c r="AD180" s="51"/>
      <c r="AE180" s="51"/>
      <c r="AF180" s="51"/>
      <c r="AG180" s="51"/>
      <c r="AH180" s="51"/>
      <c r="AI180" s="51"/>
      <c r="AJ180" s="51"/>
      <c r="AK180" s="51"/>
      <c r="AM180" s="27">
        <v>37</v>
      </c>
      <c r="AN180" s="27">
        <v>137</v>
      </c>
      <c r="AO180" s="27">
        <v>6</v>
      </c>
      <c r="AP180" s="27">
        <v>112</v>
      </c>
      <c r="AQ180" s="29">
        <v>0.59533302197424443</v>
      </c>
      <c r="AR180" s="27">
        <v>5</v>
      </c>
      <c r="AS180" s="29">
        <f>INDEX($AK$17:$AK$116,MATCH(AO180,$AA$17:$AA$116,0))</f>
        <v>94.5</v>
      </c>
      <c r="AT180" s="29">
        <f>AU155</f>
        <v>92.625</v>
      </c>
      <c r="AU180" s="29">
        <f t="shared" si="5"/>
        <v>93.5625</v>
      </c>
      <c r="AV180" s="29">
        <f>0</f>
        <v>0</v>
      </c>
      <c r="AW180" s="29">
        <f>AQ155</f>
        <v>0</v>
      </c>
      <c r="AY180" s="27">
        <v>108</v>
      </c>
      <c r="AZ180" s="27">
        <v>2</v>
      </c>
      <c r="BA180" s="29">
        <f>$AQ$242-AQ151</f>
        <v>22.334220944888109</v>
      </c>
      <c r="BB180" s="29">
        <f>AS151</f>
        <v>70.5</v>
      </c>
    </row>
    <row r="181" spans="15:54" x14ac:dyDescent="0.25">
      <c r="O181" s="50"/>
      <c r="P181" s="50"/>
      <c r="Q181" s="50"/>
      <c r="R181" s="50"/>
      <c r="S181" s="51"/>
      <c r="T181" s="51"/>
      <c r="U181" s="51"/>
      <c r="V181" s="51"/>
      <c r="W181" s="51"/>
      <c r="X181" s="51"/>
      <c r="Y181" s="51"/>
      <c r="Z181" s="51"/>
      <c r="AA181" s="51"/>
      <c r="AB181" s="51"/>
      <c r="AC181" s="51"/>
      <c r="AD181" s="51"/>
      <c r="AE181" s="51"/>
      <c r="AF181" s="51"/>
      <c r="AG181" s="51"/>
      <c r="AH181" s="51"/>
      <c r="AI181" s="51"/>
      <c r="AJ181" s="51"/>
      <c r="AK181" s="51"/>
      <c r="AM181" s="27">
        <v>38</v>
      </c>
      <c r="AN181" s="27">
        <v>138</v>
      </c>
      <c r="AO181" s="27">
        <v>62</v>
      </c>
      <c r="AP181" s="27">
        <v>117</v>
      </c>
      <c r="AQ181" s="29">
        <v>0.61599077450055784</v>
      </c>
      <c r="AR181" s="27">
        <v>3</v>
      </c>
      <c r="AS181" s="29">
        <f>INDEX($AK$17:$AK$116,MATCH(AO181,$AA$17:$AA$116,0))</f>
        <v>38.5</v>
      </c>
      <c r="AT181" s="29">
        <f>AU160</f>
        <v>37</v>
      </c>
      <c r="AU181" s="29">
        <f t="shared" si="5"/>
        <v>37.75</v>
      </c>
      <c r="AV181" s="29">
        <f>0</f>
        <v>0</v>
      </c>
      <c r="AW181" s="29">
        <f>AQ160</f>
        <v>0</v>
      </c>
      <c r="AY181" s="27">
        <v>108</v>
      </c>
      <c r="AZ181" s="27">
        <v>3</v>
      </c>
      <c r="BA181" s="29">
        <f>$AQ$242-AQ151</f>
        <v>22.334220944888109</v>
      </c>
      <c r="BB181" s="29">
        <f>AT151</f>
        <v>68.75</v>
      </c>
    </row>
    <row r="182" spans="15:54" x14ac:dyDescent="0.25">
      <c r="O182" s="50"/>
      <c r="P182" s="50"/>
      <c r="Q182" s="50"/>
      <c r="R182" s="50"/>
      <c r="S182" s="51"/>
      <c r="T182" s="51"/>
      <c r="U182" s="51"/>
      <c r="V182" s="51"/>
      <c r="W182" s="51"/>
      <c r="X182" s="51"/>
      <c r="Y182" s="51"/>
      <c r="Z182" s="51"/>
      <c r="AA182" s="51"/>
      <c r="AB182" s="51"/>
      <c r="AC182" s="51"/>
      <c r="AD182" s="51"/>
      <c r="AE182" s="51"/>
      <c r="AF182" s="51"/>
      <c r="AG182" s="51"/>
      <c r="AH182" s="51"/>
      <c r="AI182" s="51"/>
      <c r="AJ182" s="51"/>
      <c r="AK182" s="51"/>
      <c r="AM182" s="27">
        <v>39</v>
      </c>
      <c r="AN182" s="27">
        <v>139</v>
      </c>
      <c r="AO182" s="27">
        <v>73</v>
      </c>
      <c r="AP182" s="27">
        <v>116</v>
      </c>
      <c r="AQ182" s="29">
        <v>0.64445141338254019</v>
      </c>
      <c r="AR182" s="27">
        <v>3</v>
      </c>
      <c r="AS182" s="29">
        <f>INDEX($AK$17:$AK$116,MATCH(AO182,$AA$17:$AA$116,0))</f>
        <v>27.5</v>
      </c>
      <c r="AT182" s="29">
        <f>AU159</f>
        <v>26</v>
      </c>
      <c r="AU182" s="29">
        <f t="shared" si="5"/>
        <v>26.75</v>
      </c>
      <c r="AV182" s="29">
        <f>0</f>
        <v>0</v>
      </c>
      <c r="AW182" s="29">
        <f>AQ159</f>
        <v>0</v>
      </c>
      <c r="AY182" s="27">
        <v>108</v>
      </c>
      <c r="AZ182" s="27">
        <v>4</v>
      </c>
      <c r="BA182" s="29">
        <f>$AQ$242-AW151</f>
        <v>22.334220944888109</v>
      </c>
      <c r="BB182" s="29">
        <f>AT151</f>
        <v>68.75</v>
      </c>
    </row>
    <row r="183" spans="15:54" x14ac:dyDescent="0.25">
      <c r="O183" s="50" t="s">
        <v>230</v>
      </c>
      <c r="P183" s="50"/>
      <c r="Q183" s="50"/>
      <c r="R183" s="50"/>
      <c r="S183" s="51" t="s">
        <v>231</v>
      </c>
      <c r="T183" s="51"/>
      <c r="U183" s="51"/>
      <c r="V183" s="51"/>
      <c r="W183" s="51"/>
      <c r="X183" s="51"/>
      <c r="Y183" s="51"/>
      <c r="Z183" s="51"/>
      <c r="AA183" s="51"/>
      <c r="AB183" s="51"/>
      <c r="AC183" s="51"/>
      <c r="AD183" s="51"/>
      <c r="AE183" s="51"/>
      <c r="AF183" s="51"/>
      <c r="AG183" s="51"/>
      <c r="AH183" s="51"/>
      <c r="AI183" s="51"/>
      <c r="AJ183" s="51"/>
      <c r="AK183" s="51"/>
      <c r="AM183" s="27">
        <v>40</v>
      </c>
      <c r="AN183" s="27">
        <v>140</v>
      </c>
      <c r="AO183" s="27">
        <v>25</v>
      </c>
      <c r="AP183" s="27">
        <v>135</v>
      </c>
      <c r="AQ183" s="29">
        <v>0.64503840227609721</v>
      </c>
      <c r="AR183" s="27">
        <v>4</v>
      </c>
      <c r="AS183" s="29">
        <f>INDEX($AK$17:$AK$116,MATCH(AO183,$AA$17:$AA$116,0))</f>
        <v>75.5</v>
      </c>
      <c r="AT183" s="29">
        <f>AU178</f>
        <v>73.75</v>
      </c>
      <c r="AU183" s="29">
        <f t="shared" si="5"/>
        <v>74.625</v>
      </c>
      <c r="AV183" s="29">
        <f>0</f>
        <v>0</v>
      </c>
      <c r="AW183" s="29">
        <f>AQ178</f>
        <v>0.58903578738644014</v>
      </c>
      <c r="AZ183" s="28" t="s">
        <v>159</v>
      </c>
    </row>
    <row r="184" spans="15:54" x14ac:dyDescent="0.25">
      <c r="O184" s="50"/>
      <c r="P184" s="50"/>
      <c r="Q184" s="50"/>
      <c r="R184" s="50"/>
      <c r="S184" s="51"/>
      <c r="T184" s="51"/>
      <c r="U184" s="51"/>
      <c r="V184" s="51"/>
      <c r="W184" s="51"/>
      <c r="X184" s="51"/>
      <c r="Y184" s="51"/>
      <c r="Z184" s="51"/>
      <c r="AA184" s="51"/>
      <c r="AB184" s="51"/>
      <c r="AC184" s="51"/>
      <c r="AD184" s="51"/>
      <c r="AE184" s="51"/>
      <c r="AF184" s="51"/>
      <c r="AG184" s="51"/>
      <c r="AH184" s="51"/>
      <c r="AI184" s="51"/>
      <c r="AJ184" s="51"/>
      <c r="AK184" s="51"/>
      <c r="AM184" s="27">
        <v>41</v>
      </c>
      <c r="AN184" s="27">
        <v>141</v>
      </c>
      <c r="AO184" s="27">
        <v>56</v>
      </c>
      <c r="AP184" s="27">
        <v>57</v>
      </c>
      <c r="AQ184" s="29">
        <v>0.66551623867738707</v>
      </c>
      <c r="AR184" s="27">
        <v>2</v>
      </c>
      <c r="AS184" s="29">
        <f>INDEX($AK$17:$AK$116,MATCH(AO184,$AA$17:$AA$116,0))</f>
        <v>44.5</v>
      </c>
      <c r="AT184" s="29">
        <f>INDEX($AK$17:$AK$116,MATCH(AP184,$AA$17:$AA$116,0))</f>
        <v>43.5</v>
      </c>
      <c r="AU184" s="29">
        <f t="shared" si="5"/>
        <v>44</v>
      </c>
      <c r="AV184" s="29">
        <f>0</f>
        <v>0</v>
      </c>
      <c r="AW184" s="29">
        <f>0</f>
        <v>0</v>
      </c>
      <c r="AY184" s="27">
        <v>109</v>
      </c>
      <c r="AZ184" s="27">
        <v>1</v>
      </c>
      <c r="BA184" s="29">
        <f>$AQ$242-AV152</f>
        <v>22.334220944888109</v>
      </c>
      <c r="BB184" s="29">
        <f>AS152</f>
        <v>86.5</v>
      </c>
    </row>
    <row r="185" spans="15:54" x14ac:dyDescent="0.25">
      <c r="O185" s="50"/>
      <c r="P185" s="50"/>
      <c r="Q185" s="50"/>
      <c r="R185" s="50"/>
      <c r="S185" s="51"/>
      <c r="T185" s="51"/>
      <c r="U185" s="51"/>
      <c r="V185" s="51"/>
      <c r="W185" s="51"/>
      <c r="X185" s="51"/>
      <c r="Y185" s="51"/>
      <c r="Z185" s="51"/>
      <c r="AA185" s="51"/>
      <c r="AB185" s="51"/>
      <c r="AC185" s="51"/>
      <c r="AD185" s="51"/>
      <c r="AE185" s="51"/>
      <c r="AF185" s="51"/>
      <c r="AG185" s="51"/>
      <c r="AH185" s="51"/>
      <c r="AI185" s="51"/>
      <c r="AJ185" s="51"/>
      <c r="AK185" s="51"/>
      <c r="AM185" s="27">
        <v>42</v>
      </c>
      <c r="AN185" s="27">
        <v>142</v>
      </c>
      <c r="AO185" s="27">
        <v>104</v>
      </c>
      <c r="AP185" s="27">
        <v>109</v>
      </c>
      <c r="AQ185" s="29">
        <v>0.72913106543301209</v>
      </c>
      <c r="AR185" s="27">
        <v>5</v>
      </c>
      <c r="AS185" s="29">
        <f>AU147</f>
        <v>88.75</v>
      </c>
      <c r="AT185" s="29">
        <f>AU152</f>
        <v>86</v>
      </c>
      <c r="AU185" s="29">
        <f t="shared" si="5"/>
        <v>87.375</v>
      </c>
      <c r="AV185" s="29">
        <f>AQ147</f>
        <v>0</v>
      </c>
      <c r="AW185" s="29">
        <f>AQ152</f>
        <v>0</v>
      </c>
      <c r="AY185" s="27">
        <v>109</v>
      </c>
      <c r="AZ185" s="27">
        <v>2</v>
      </c>
      <c r="BA185" s="29">
        <f>$AQ$242-AQ152</f>
        <v>22.334220944888109</v>
      </c>
      <c r="BB185" s="29">
        <f>AS152</f>
        <v>86.5</v>
      </c>
    </row>
    <row r="186" spans="15:54" x14ac:dyDescent="0.25">
      <c r="O186" s="50" t="s">
        <v>232</v>
      </c>
      <c r="P186" s="50"/>
      <c r="Q186" s="50"/>
      <c r="R186" s="50"/>
      <c r="S186" s="51" t="s">
        <v>233</v>
      </c>
      <c r="T186" s="51"/>
      <c r="U186" s="51"/>
      <c r="V186" s="51"/>
      <c r="W186" s="51"/>
      <c r="X186" s="51"/>
      <c r="Y186" s="51"/>
      <c r="Z186" s="51"/>
      <c r="AA186" s="51"/>
      <c r="AB186" s="51"/>
      <c r="AC186" s="51"/>
      <c r="AD186" s="51"/>
      <c r="AE186" s="51"/>
      <c r="AF186" s="51"/>
      <c r="AG186" s="51"/>
      <c r="AH186" s="51"/>
      <c r="AI186" s="51"/>
      <c r="AJ186" s="51"/>
      <c r="AK186" s="51"/>
      <c r="AM186" s="27">
        <v>43</v>
      </c>
      <c r="AN186" s="27">
        <v>143</v>
      </c>
      <c r="AO186" s="27">
        <v>114</v>
      </c>
      <c r="AP186" s="27">
        <v>115</v>
      </c>
      <c r="AQ186" s="29">
        <v>0.72913106543301209</v>
      </c>
      <c r="AR186" s="27">
        <v>5</v>
      </c>
      <c r="AS186" s="29">
        <f>AU157</f>
        <v>65.75</v>
      </c>
      <c r="AT186" s="29">
        <f>AU158</f>
        <v>63</v>
      </c>
      <c r="AU186" s="29">
        <f t="shared" si="5"/>
        <v>64.375</v>
      </c>
      <c r="AV186" s="29">
        <f>AQ157</f>
        <v>0</v>
      </c>
      <c r="AW186" s="29">
        <f>AQ158</f>
        <v>0</v>
      </c>
      <c r="AY186" s="27">
        <v>109</v>
      </c>
      <c r="AZ186" s="27">
        <v>3</v>
      </c>
      <c r="BA186" s="29">
        <f>$AQ$242-AQ152</f>
        <v>22.334220944888109</v>
      </c>
      <c r="BB186" s="29">
        <f>AT152</f>
        <v>85.5</v>
      </c>
    </row>
    <row r="187" spans="15:54" x14ac:dyDescent="0.25">
      <c r="O187" s="50"/>
      <c r="P187" s="50"/>
      <c r="Q187" s="50"/>
      <c r="R187" s="50"/>
      <c r="S187" s="51"/>
      <c r="T187" s="51"/>
      <c r="U187" s="51"/>
      <c r="V187" s="51"/>
      <c r="W187" s="51"/>
      <c r="X187" s="51"/>
      <c r="Y187" s="51"/>
      <c r="Z187" s="51"/>
      <c r="AA187" s="51"/>
      <c r="AB187" s="51"/>
      <c r="AC187" s="51"/>
      <c r="AD187" s="51"/>
      <c r="AE187" s="51"/>
      <c r="AF187" s="51"/>
      <c r="AG187" s="51"/>
      <c r="AH187" s="51"/>
      <c r="AI187" s="51"/>
      <c r="AJ187" s="51"/>
      <c r="AK187" s="51"/>
      <c r="AM187" s="27">
        <v>44</v>
      </c>
      <c r="AN187" s="27">
        <v>144</v>
      </c>
      <c r="AO187" s="27">
        <v>60</v>
      </c>
      <c r="AP187" s="27">
        <v>61</v>
      </c>
      <c r="AQ187" s="29">
        <v>0.73006958405769895</v>
      </c>
      <c r="AR187" s="27">
        <v>2</v>
      </c>
      <c r="AS187" s="29">
        <f>INDEX($AK$17:$AK$116,MATCH(AO187,$AA$17:$AA$116,0))</f>
        <v>40.5</v>
      </c>
      <c r="AT187" s="29">
        <f>INDEX($AK$17:$AK$116,MATCH(AP187,$AA$17:$AA$116,0))</f>
        <v>39.5</v>
      </c>
      <c r="AU187" s="29">
        <f t="shared" si="5"/>
        <v>40</v>
      </c>
      <c r="AV187" s="29">
        <f>0</f>
        <v>0</v>
      </c>
      <c r="AW187" s="29">
        <f>0</f>
        <v>0</v>
      </c>
      <c r="AY187" s="27">
        <v>109</v>
      </c>
      <c r="AZ187" s="27">
        <v>4</v>
      </c>
      <c r="BA187" s="29">
        <f>$AQ$242-AW152</f>
        <v>22.334220944888109</v>
      </c>
      <c r="BB187" s="29">
        <f>AT152</f>
        <v>85.5</v>
      </c>
    </row>
    <row r="188" spans="15:54" x14ac:dyDescent="0.25">
      <c r="O188" s="50"/>
      <c r="P188" s="50"/>
      <c r="Q188" s="50"/>
      <c r="R188" s="50"/>
      <c r="S188" s="51"/>
      <c r="T188" s="51"/>
      <c r="U188" s="51"/>
      <c r="V188" s="51"/>
      <c r="W188" s="51"/>
      <c r="X188" s="51"/>
      <c r="Y188" s="51"/>
      <c r="Z188" s="51"/>
      <c r="AA188" s="51"/>
      <c r="AB188" s="51"/>
      <c r="AC188" s="51"/>
      <c r="AD188" s="51"/>
      <c r="AE188" s="51"/>
      <c r="AF188" s="51"/>
      <c r="AG188" s="51"/>
      <c r="AH188" s="51"/>
      <c r="AI188" s="51"/>
      <c r="AJ188" s="51"/>
      <c r="AK188" s="51"/>
      <c r="AM188" s="27">
        <v>45</v>
      </c>
      <c r="AN188" s="27">
        <v>145</v>
      </c>
      <c r="AO188" s="27">
        <v>1</v>
      </c>
      <c r="AP188" s="27">
        <v>134</v>
      </c>
      <c r="AQ188" s="29">
        <v>0.7441662774678055</v>
      </c>
      <c r="AR188" s="27">
        <v>5</v>
      </c>
      <c r="AS188" s="29">
        <f>INDEX($AK$17:$AK$116,MATCH(AO188,$AA$17:$AA$116,0))</f>
        <v>99.5</v>
      </c>
      <c r="AT188" s="29">
        <f>AU177</f>
        <v>97.625</v>
      </c>
      <c r="AU188" s="29">
        <f t="shared" si="5"/>
        <v>98.5625</v>
      </c>
      <c r="AV188" s="29">
        <f>0</f>
        <v>0</v>
      </c>
      <c r="AW188" s="29">
        <f>AQ177</f>
        <v>0.5764287198883955</v>
      </c>
      <c r="AZ188" s="28" t="s">
        <v>159</v>
      </c>
    </row>
    <row r="189" spans="15:54" x14ac:dyDescent="0.25">
      <c r="O189" s="50" t="s">
        <v>234</v>
      </c>
      <c r="P189" s="50"/>
      <c r="Q189" s="50"/>
      <c r="R189" s="50"/>
      <c r="S189" s="51" t="s">
        <v>235</v>
      </c>
      <c r="T189" s="51"/>
      <c r="U189" s="51"/>
      <c r="V189" s="51"/>
      <c r="W189" s="51"/>
      <c r="X189" s="51"/>
      <c r="Y189" s="51"/>
      <c r="Z189" s="51"/>
      <c r="AA189" s="51"/>
      <c r="AB189" s="51"/>
      <c r="AC189" s="51"/>
      <c r="AD189" s="51"/>
      <c r="AE189" s="51"/>
      <c r="AF189" s="51"/>
      <c r="AG189" s="51"/>
      <c r="AH189" s="51"/>
      <c r="AI189" s="51"/>
      <c r="AJ189" s="51"/>
      <c r="AK189" s="51"/>
      <c r="AM189" s="27">
        <v>46</v>
      </c>
      <c r="AN189" s="27">
        <v>146</v>
      </c>
      <c r="AO189" s="27">
        <v>97</v>
      </c>
      <c r="AP189" s="27">
        <v>131</v>
      </c>
      <c r="AQ189" s="29">
        <v>0.76857162651786071</v>
      </c>
      <c r="AR189" s="27">
        <v>4</v>
      </c>
      <c r="AS189" s="29">
        <f>INDEX($AK$17:$AK$116,MATCH(AO189,$AA$17:$AA$116,0))</f>
        <v>7.5</v>
      </c>
      <c r="AT189" s="29">
        <f>AU174</f>
        <v>5.75</v>
      </c>
      <c r="AU189" s="29">
        <f t="shared" si="5"/>
        <v>6.625</v>
      </c>
      <c r="AV189" s="29">
        <f>0</f>
        <v>0</v>
      </c>
      <c r="AW189" s="29">
        <f>AQ174</f>
        <v>0.54346220893835373</v>
      </c>
      <c r="AY189" s="27">
        <v>110</v>
      </c>
      <c r="AZ189" s="27">
        <v>1</v>
      </c>
      <c r="BA189" s="29">
        <f>$AQ$242-AV153</f>
        <v>22.334220944888109</v>
      </c>
      <c r="BB189" s="29">
        <f>AS153</f>
        <v>91.5</v>
      </c>
    </row>
    <row r="190" spans="15:54" x14ac:dyDescent="0.25">
      <c r="O190" s="50"/>
      <c r="P190" s="50"/>
      <c r="Q190" s="50"/>
      <c r="R190" s="50"/>
      <c r="S190" s="51"/>
      <c r="T190" s="51"/>
      <c r="U190" s="51"/>
      <c r="V190" s="51"/>
      <c r="W190" s="51"/>
      <c r="X190" s="51"/>
      <c r="Y190" s="51"/>
      <c r="Z190" s="51"/>
      <c r="AA190" s="51"/>
      <c r="AB190" s="51"/>
      <c r="AC190" s="51"/>
      <c r="AD190" s="51"/>
      <c r="AE190" s="51"/>
      <c r="AF190" s="51"/>
      <c r="AG190" s="51"/>
      <c r="AH190" s="51"/>
      <c r="AI190" s="51"/>
      <c r="AJ190" s="51"/>
      <c r="AK190" s="51"/>
      <c r="AM190" s="27">
        <v>47</v>
      </c>
      <c r="AN190" s="27">
        <v>147</v>
      </c>
      <c r="AO190" s="27">
        <v>94</v>
      </c>
      <c r="AP190" s="27">
        <v>132</v>
      </c>
      <c r="AQ190" s="29">
        <v>0.76857162651786071</v>
      </c>
      <c r="AR190" s="27">
        <v>4</v>
      </c>
      <c r="AS190" s="29">
        <f>INDEX($AK$17:$AK$116,MATCH(AO190,$AA$17:$AA$116,0))</f>
        <v>3.5</v>
      </c>
      <c r="AT190" s="29">
        <f>AU175</f>
        <v>1.75</v>
      </c>
      <c r="AU190" s="29">
        <f t="shared" si="5"/>
        <v>2.625</v>
      </c>
      <c r="AV190" s="29">
        <f>0</f>
        <v>0</v>
      </c>
      <c r="AW190" s="29">
        <f>AQ175</f>
        <v>0.54346220893835373</v>
      </c>
      <c r="AY190" s="27">
        <v>110</v>
      </c>
      <c r="AZ190" s="27">
        <v>2</v>
      </c>
      <c r="BA190" s="29">
        <f>$AQ$242-AQ153</f>
        <v>22.334220944888109</v>
      </c>
      <c r="BB190" s="29">
        <f>AS153</f>
        <v>91.5</v>
      </c>
    </row>
    <row r="191" spans="15:54" x14ac:dyDescent="0.25">
      <c r="O191" s="50"/>
      <c r="P191" s="50"/>
      <c r="Q191" s="50"/>
      <c r="R191" s="50"/>
      <c r="S191" s="51"/>
      <c r="T191" s="51"/>
      <c r="U191" s="51"/>
      <c r="V191" s="51"/>
      <c r="W191" s="51"/>
      <c r="X191" s="51"/>
      <c r="Y191" s="51"/>
      <c r="Z191" s="51"/>
      <c r="AA191" s="51"/>
      <c r="AB191" s="51"/>
      <c r="AC191" s="51"/>
      <c r="AD191" s="51"/>
      <c r="AE191" s="51"/>
      <c r="AF191" s="51"/>
      <c r="AG191" s="51"/>
      <c r="AH191" s="51"/>
      <c r="AI191" s="51"/>
      <c r="AJ191" s="51"/>
      <c r="AK191" s="51"/>
      <c r="AM191" s="27">
        <v>48</v>
      </c>
      <c r="AN191" s="27">
        <v>148</v>
      </c>
      <c r="AO191" s="27">
        <v>44</v>
      </c>
      <c r="AP191" s="27">
        <v>122</v>
      </c>
      <c r="AQ191" s="29">
        <v>0.81519331340753087</v>
      </c>
      <c r="AR191" s="27">
        <v>3</v>
      </c>
      <c r="AS191" s="29">
        <f>INDEX($AK$17:$AK$116,MATCH(AO191,$AA$17:$AA$116,0))</f>
        <v>56.5</v>
      </c>
      <c r="AT191" s="29">
        <f>AU165</f>
        <v>55</v>
      </c>
      <c r="AU191" s="29">
        <f t="shared" si="5"/>
        <v>55.75</v>
      </c>
      <c r="AV191" s="29">
        <f>0</f>
        <v>0</v>
      </c>
      <c r="AW191" s="29">
        <f>AQ165</f>
        <v>0.47065207893742089</v>
      </c>
      <c r="AY191" s="27">
        <v>110</v>
      </c>
      <c r="AZ191" s="27">
        <v>3</v>
      </c>
      <c r="BA191" s="29">
        <f>$AQ$242-AQ153</f>
        <v>22.334220944888109</v>
      </c>
      <c r="BB191" s="29">
        <f>AT153</f>
        <v>90.5</v>
      </c>
    </row>
    <row r="192" spans="15:54" x14ac:dyDescent="0.25">
      <c r="O192" s="50" t="s">
        <v>236</v>
      </c>
      <c r="P192" s="50"/>
      <c r="Q192" s="50"/>
      <c r="R192" s="50"/>
      <c r="S192" s="51" t="s">
        <v>237</v>
      </c>
      <c r="T192" s="51"/>
      <c r="U192" s="51"/>
      <c r="V192" s="51"/>
      <c r="W192" s="51"/>
      <c r="X192" s="51"/>
      <c r="Y192" s="51"/>
      <c r="Z192" s="51"/>
      <c r="AA192" s="51"/>
      <c r="AB192" s="51"/>
      <c r="AC192" s="51"/>
      <c r="AD192" s="51"/>
      <c r="AE192" s="51"/>
      <c r="AF192" s="51"/>
      <c r="AG192" s="51"/>
      <c r="AH192" s="51"/>
      <c r="AI192" s="51"/>
      <c r="AJ192" s="51"/>
      <c r="AK192" s="51"/>
      <c r="AM192" s="27">
        <v>49</v>
      </c>
      <c r="AN192" s="27">
        <v>149</v>
      </c>
      <c r="AO192" s="27">
        <v>81</v>
      </c>
      <c r="AP192" s="27">
        <v>82</v>
      </c>
      <c r="AQ192" s="29">
        <v>0.81941017312976405</v>
      </c>
      <c r="AR192" s="27">
        <v>2</v>
      </c>
      <c r="AS192" s="29">
        <f>INDEX($AK$17:$AK$116,MATCH(AO192,$AA$17:$AA$116,0))</f>
        <v>19.5</v>
      </c>
      <c r="AT192" s="29">
        <f>INDEX($AK$17:$AK$116,MATCH(AP192,$AA$17:$AA$116,0))</f>
        <v>18.5</v>
      </c>
      <c r="AU192" s="29">
        <f t="shared" si="5"/>
        <v>19</v>
      </c>
      <c r="AV192" s="29">
        <f>0</f>
        <v>0</v>
      </c>
      <c r="AW192" s="29">
        <f>0</f>
        <v>0</v>
      </c>
      <c r="AY192" s="27">
        <v>110</v>
      </c>
      <c r="AZ192" s="27">
        <v>4</v>
      </c>
      <c r="BA192" s="29">
        <f>$AQ$242-AW153</f>
        <v>22.334220944888109</v>
      </c>
      <c r="BB192" s="29">
        <f>AT153</f>
        <v>90.5</v>
      </c>
    </row>
    <row r="193" spans="15:54" x14ac:dyDescent="0.25">
      <c r="O193" s="50"/>
      <c r="P193" s="50"/>
      <c r="Q193" s="50"/>
      <c r="R193" s="50"/>
      <c r="S193" s="51"/>
      <c r="T193" s="51"/>
      <c r="U193" s="51"/>
      <c r="V193" s="51"/>
      <c r="W193" s="51"/>
      <c r="X193" s="51"/>
      <c r="Y193" s="51"/>
      <c r="Z193" s="51"/>
      <c r="AA193" s="51"/>
      <c r="AB193" s="51"/>
      <c r="AC193" s="51"/>
      <c r="AD193" s="51"/>
      <c r="AE193" s="51"/>
      <c r="AF193" s="51"/>
      <c r="AG193" s="51"/>
      <c r="AH193" s="51"/>
      <c r="AI193" s="51"/>
      <c r="AJ193" s="51"/>
      <c r="AK193" s="51"/>
      <c r="AM193" s="27">
        <v>50</v>
      </c>
      <c r="AN193" s="27">
        <v>150</v>
      </c>
      <c r="AO193" s="27">
        <v>126</v>
      </c>
      <c r="AP193" s="27">
        <v>149</v>
      </c>
      <c r="AQ193" s="29">
        <v>0.86722548783582876</v>
      </c>
      <c r="AR193" s="27">
        <v>4</v>
      </c>
      <c r="AS193" s="29">
        <f>AU169</f>
        <v>21</v>
      </c>
      <c r="AT193" s="29">
        <f>AU192</f>
        <v>19</v>
      </c>
      <c r="AU193" s="29">
        <f t="shared" si="5"/>
        <v>20</v>
      </c>
      <c r="AV193" s="29">
        <f>AQ169</f>
        <v>0.49954432567757562</v>
      </c>
      <c r="AW193" s="29">
        <f>AQ192</f>
        <v>0.81941017312976405</v>
      </c>
      <c r="AZ193" s="28" t="s">
        <v>159</v>
      </c>
    </row>
    <row r="194" spans="15:54" x14ac:dyDescent="0.25">
      <c r="O194" s="50"/>
      <c r="P194" s="50"/>
      <c r="Q194" s="50"/>
      <c r="R194" s="50"/>
      <c r="S194" s="51"/>
      <c r="T194" s="51"/>
      <c r="U194" s="51"/>
      <c r="V194" s="51"/>
      <c r="W194" s="51"/>
      <c r="X194" s="51"/>
      <c r="Y194" s="51"/>
      <c r="Z194" s="51"/>
      <c r="AA194" s="51"/>
      <c r="AB194" s="51"/>
      <c r="AC194" s="51"/>
      <c r="AD194" s="51"/>
      <c r="AE194" s="51"/>
      <c r="AF194" s="51"/>
      <c r="AG194" s="51"/>
      <c r="AH194" s="51"/>
      <c r="AI194" s="51"/>
      <c r="AJ194" s="51"/>
      <c r="AK194" s="51"/>
      <c r="AM194" s="27">
        <v>51</v>
      </c>
      <c r="AN194" s="27">
        <v>151</v>
      </c>
      <c r="AO194" s="27">
        <v>53</v>
      </c>
      <c r="AP194" s="27">
        <v>54</v>
      </c>
      <c r="AQ194" s="29">
        <v>0.8756368478943759</v>
      </c>
      <c r="AR194" s="27">
        <v>2</v>
      </c>
      <c r="AS194" s="29">
        <f>INDEX($AK$17:$AK$116,MATCH(AO194,$AA$17:$AA$116,0))</f>
        <v>47.5</v>
      </c>
      <c r="AT194" s="29">
        <f>INDEX($AK$17:$AK$116,MATCH(AP194,$AA$17:$AA$116,0))</f>
        <v>46.5</v>
      </c>
      <c r="AU194" s="29">
        <f t="shared" si="5"/>
        <v>47</v>
      </c>
      <c r="AV194" s="29">
        <f>0</f>
        <v>0</v>
      </c>
      <c r="AW194" s="29">
        <f>0</f>
        <v>0</v>
      </c>
      <c r="AY194" s="27">
        <v>111</v>
      </c>
      <c r="AZ194" s="27">
        <v>1</v>
      </c>
      <c r="BA194" s="29">
        <f>$AQ$242-AV154</f>
        <v>22.334220944888109</v>
      </c>
      <c r="BB194" s="29">
        <f>AS154</f>
        <v>92.5</v>
      </c>
    </row>
    <row r="195" spans="15:54" x14ac:dyDescent="0.25">
      <c r="O195" s="50" t="s">
        <v>238</v>
      </c>
      <c r="P195" s="50"/>
      <c r="Q195" s="50"/>
      <c r="R195" s="50"/>
      <c r="S195" s="51" t="s">
        <v>239</v>
      </c>
      <c r="T195" s="51"/>
      <c r="U195" s="51"/>
      <c r="V195" s="51"/>
      <c r="W195" s="51"/>
      <c r="X195" s="51"/>
      <c r="Y195" s="51"/>
      <c r="Z195" s="51"/>
      <c r="AA195" s="51"/>
      <c r="AB195" s="51"/>
      <c r="AC195" s="51"/>
      <c r="AD195" s="51"/>
      <c r="AE195" s="51"/>
      <c r="AF195" s="51"/>
      <c r="AG195" s="51"/>
      <c r="AH195" s="51"/>
      <c r="AI195" s="51"/>
      <c r="AJ195" s="51"/>
      <c r="AK195" s="51"/>
      <c r="AM195" s="27">
        <v>52</v>
      </c>
      <c r="AN195" s="27">
        <v>152</v>
      </c>
      <c r="AO195" s="27">
        <v>55</v>
      </c>
      <c r="AP195" s="27">
        <v>141</v>
      </c>
      <c r="AQ195" s="29">
        <v>0.88281499048658152</v>
      </c>
      <c r="AR195" s="27">
        <v>3</v>
      </c>
      <c r="AS195" s="29">
        <f>INDEX($AK$17:$AK$116,MATCH(AO195,$AA$17:$AA$116,0))</f>
        <v>45.5</v>
      </c>
      <c r="AT195" s="29">
        <f>AU184</f>
        <v>44</v>
      </c>
      <c r="AU195" s="29">
        <f t="shared" si="5"/>
        <v>44.75</v>
      </c>
      <c r="AV195" s="29">
        <f>0</f>
        <v>0</v>
      </c>
      <c r="AW195" s="29">
        <f>AQ184</f>
        <v>0.66551623867738707</v>
      </c>
      <c r="AY195" s="27">
        <v>111</v>
      </c>
      <c r="AZ195" s="27">
        <v>2</v>
      </c>
      <c r="BA195" s="29">
        <f>$AQ$242-AQ154</f>
        <v>22.334220944888109</v>
      </c>
      <c r="BB195" s="29">
        <f>AS154</f>
        <v>92.5</v>
      </c>
    </row>
    <row r="196" spans="15:54" x14ac:dyDescent="0.25">
      <c r="O196" s="50"/>
      <c r="P196" s="50"/>
      <c r="Q196" s="50"/>
      <c r="R196" s="50"/>
      <c r="S196" s="51"/>
      <c r="T196" s="51"/>
      <c r="U196" s="51"/>
      <c r="V196" s="51"/>
      <c r="W196" s="51"/>
      <c r="X196" s="51"/>
      <c r="Y196" s="51"/>
      <c r="Z196" s="51"/>
      <c r="AA196" s="51"/>
      <c r="AB196" s="51"/>
      <c r="AC196" s="51"/>
      <c r="AD196" s="51"/>
      <c r="AE196" s="51"/>
      <c r="AF196" s="51"/>
      <c r="AG196" s="51"/>
      <c r="AH196" s="51"/>
      <c r="AI196" s="51"/>
      <c r="AJ196" s="51"/>
      <c r="AK196" s="51"/>
      <c r="AM196" s="27">
        <v>53</v>
      </c>
      <c r="AN196" s="27">
        <v>153</v>
      </c>
      <c r="AO196" s="27">
        <v>16</v>
      </c>
      <c r="AP196" s="27">
        <v>17</v>
      </c>
      <c r="AQ196" s="29">
        <v>0.93120782843736361</v>
      </c>
      <c r="AR196" s="27">
        <v>2</v>
      </c>
      <c r="AS196" s="29">
        <f>INDEX($AK$17:$AK$116,MATCH(AO196,$AA$17:$AA$116,0))</f>
        <v>84.5</v>
      </c>
      <c r="AT196" s="29">
        <f>INDEX($AK$17:$AK$116,MATCH(AP196,$AA$17:$AA$116,0))</f>
        <v>83.5</v>
      </c>
      <c r="AU196" s="29">
        <f t="shared" si="5"/>
        <v>84</v>
      </c>
      <c r="AV196" s="29">
        <f>0</f>
        <v>0</v>
      </c>
      <c r="AW196" s="29">
        <f>0</f>
        <v>0</v>
      </c>
      <c r="AY196" s="27">
        <v>111</v>
      </c>
      <c r="AZ196" s="27">
        <v>3</v>
      </c>
      <c r="BA196" s="29">
        <f>$AQ$242-AQ154</f>
        <v>22.334220944888109</v>
      </c>
      <c r="BB196" s="29">
        <f>AT154</f>
        <v>91</v>
      </c>
    </row>
    <row r="197" spans="15:54" x14ac:dyDescent="0.25">
      <c r="O197" s="50"/>
      <c r="P197" s="50"/>
      <c r="Q197" s="50"/>
      <c r="R197" s="50"/>
      <c r="S197" s="51"/>
      <c r="T197" s="51"/>
      <c r="U197" s="51"/>
      <c r="V197" s="51"/>
      <c r="W197" s="51"/>
      <c r="X197" s="51"/>
      <c r="Y197" s="51"/>
      <c r="Z197" s="51"/>
      <c r="AA197" s="51"/>
      <c r="AB197" s="51"/>
      <c r="AC197" s="51"/>
      <c r="AD197" s="51"/>
      <c r="AE197" s="51"/>
      <c r="AF197" s="51"/>
      <c r="AG197" s="51"/>
      <c r="AH197" s="51"/>
      <c r="AI197" s="51"/>
      <c r="AJ197" s="51"/>
      <c r="AK197" s="51"/>
      <c r="AM197" s="27">
        <v>54</v>
      </c>
      <c r="AN197" s="27">
        <v>154</v>
      </c>
      <c r="AO197" s="27">
        <v>72</v>
      </c>
      <c r="AP197" s="27">
        <v>139</v>
      </c>
      <c r="AQ197" s="29">
        <v>1.00741537365718</v>
      </c>
      <c r="AR197" s="27">
        <v>4</v>
      </c>
      <c r="AS197" s="29">
        <f>INDEX($AK$17:$AK$116,MATCH(AO197,$AA$17:$AA$116,0))</f>
        <v>28.5</v>
      </c>
      <c r="AT197" s="29">
        <f>AU182</f>
        <v>26.75</v>
      </c>
      <c r="AU197" s="29">
        <f t="shared" si="5"/>
        <v>27.625</v>
      </c>
      <c r="AV197" s="29">
        <f>0</f>
        <v>0</v>
      </c>
      <c r="AW197" s="29">
        <f>AQ182</f>
        <v>0.64445141338254019</v>
      </c>
      <c r="AY197" s="27">
        <v>111</v>
      </c>
      <c r="AZ197" s="27">
        <v>4</v>
      </c>
      <c r="BA197" s="29">
        <f>$AQ$242-AW154</f>
        <v>22.334220944888109</v>
      </c>
      <c r="BB197" s="29">
        <f>AT154</f>
        <v>91</v>
      </c>
    </row>
    <row r="198" spans="15:54" x14ac:dyDescent="0.25">
      <c r="O198" s="50" t="s">
        <v>240</v>
      </c>
      <c r="P198" s="50"/>
      <c r="Q198" s="50"/>
      <c r="R198" s="50"/>
      <c r="S198" s="51" t="s">
        <v>241</v>
      </c>
      <c r="T198" s="51"/>
      <c r="U198" s="51"/>
      <c r="V198" s="51"/>
      <c r="W198" s="51"/>
      <c r="X198" s="51"/>
      <c r="Y198" s="51"/>
      <c r="Z198" s="51"/>
      <c r="AA198" s="51"/>
      <c r="AB198" s="51"/>
      <c r="AC198" s="51"/>
      <c r="AD198" s="51"/>
      <c r="AE198" s="51"/>
      <c r="AF198" s="51"/>
      <c r="AG198" s="51"/>
      <c r="AH198" s="51"/>
      <c r="AI198" s="51"/>
      <c r="AJ198" s="51"/>
      <c r="AK198" s="51"/>
      <c r="AM198" s="27">
        <v>55</v>
      </c>
      <c r="AN198" s="27">
        <v>155</v>
      </c>
      <c r="AO198" s="27">
        <v>119</v>
      </c>
      <c r="AP198" s="27">
        <v>127</v>
      </c>
      <c r="AQ198" s="29">
        <v>1.0212416880353139</v>
      </c>
      <c r="AR198" s="27">
        <v>4</v>
      </c>
      <c r="AS198" s="29">
        <f>AU162</f>
        <v>16</v>
      </c>
      <c r="AT198" s="29">
        <f>AU170</f>
        <v>14</v>
      </c>
      <c r="AU198" s="29">
        <f t="shared" si="5"/>
        <v>15</v>
      </c>
      <c r="AV198" s="29">
        <f>AQ162</f>
        <v>0</v>
      </c>
      <c r="AW198" s="29">
        <f>AQ170</f>
        <v>0.50227520860274089</v>
      </c>
      <c r="AZ198" s="28" t="s">
        <v>159</v>
      </c>
    </row>
    <row r="199" spans="15:54" x14ac:dyDescent="0.25">
      <c r="O199" s="50"/>
      <c r="P199" s="50"/>
      <c r="Q199" s="50"/>
      <c r="R199" s="50"/>
      <c r="S199" s="51"/>
      <c r="T199" s="51"/>
      <c r="U199" s="51"/>
      <c r="V199" s="51"/>
      <c r="W199" s="51"/>
      <c r="X199" s="51"/>
      <c r="Y199" s="51"/>
      <c r="Z199" s="51"/>
      <c r="AA199" s="51"/>
      <c r="AB199" s="51"/>
      <c r="AC199" s="51"/>
      <c r="AD199" s="51"/>
      <c r="AE199" s="51"/>
      <c r="AF199" s="51"/>
      <c r="AG199" s="51"/>
      <c r="AH199" s="51"/>
      <c r="AI199" s="51"/>
      <c r="AJ199" s="51"/>
      <c r="AK199" s="51"/>
      <c r="AM199" s="27">
        <v>56</v>
      </c>
      <c r="AN199" s="27">
        <v>156</v>
      </c>
      <c r="AO199" s="27">
        <v>48</v>
      </c>
      <c r="AP199" s="27">
        <v>49</v>
      </c>
      <c r="AQ199" s="29">
        <v>1.0906907901993981</v>
      </c>
      <c r="AR199" s="27">
        <v>2</v>
      </c>
      <c r="AS199" s="29">
        <f>INDEX($AK$17:$AK$116,MATCH(AO199,$AA$17:$AA$116,0))</f>
        <v>52.5</v>
      </c>
      <c r="AT199" s="29">
        <f>INDEX($AK$17:$AK$116,MATCH(AP199,$AA$17:$AA$116,0))</f>
        <v>51.5</v>
      </c>
      <c r="AU199" s="29">
        <f t="shared" si="5"/>
        <v>52</v>
      </c>
      <c r="AV199" s="29">
        <f>0</f>
        <v>0</v>
      </c>
      <c r="AW199" s="29">
        <f>0</f>
        <v>0</v>
      </c>
      <c r="AY199" s="27">
        <v>112</v>
      </c>
      <c r="AZ199" s="27">
        <v>1</v>
      </c>
      <c r="BA199" s="29">
        <f>$AQ$242-AV155</f>
        <v>22.334220944888109</v>
      </c>
      <c r="BB199" s="29">
        <f>AS155</f>
        <v>93.5</v>
      </c>
    </row>
    <row r="200" spans="15:54" x14ac:dyDescent="0.25">
      <c r="O200" s="50"/>
      <c r="P200" s="50"/>
      <c r="Q200" s="50"/>
      <c r="R200" s="50"/>
      <c r="S200" s="51"/>
      <c r="T200" s="51"/>
      <c r="U200" s="51"/>
      <c r="V200" s="51"/>
      <c r="W200" s="51"/>
      <c r="X200" s="51"/>
      <c r="Y200" s="51"/>
      <c r="Z200" s="51"/>
      <c r="AA200" s="51"/>
      <c r="AB200" s="51"/>
      <c r="AC200" s="51"/>
      <c r="AD200" s="51"/>
      <c r="AE200" s="51"/>
      <c r="AF200" s="51"/>
      <c r="AG200" s="51"/>
      <c r="AH200" s="51"/>
      <c r="AI200" s="51"/>
      <c r="AJ200" s="51"/>
      <c r="AK200" s="51"/>
      <c r="AM200" s="27">
        <v>57</v>
      </c>
      <c r="AN200" s="27">
        <v>157</v>
      </c>
      <c r="AO200" s="27">
        <v>21</v>
      </c>
      <c r="AP200" s="27">
        <v>22</v>
      </c>
      <c r="AQ200" s="29">
        <v>1.1085202608404969</v>
      </c>
      <c r="AR200" s="27">
        <v>2</v>
      </c>
      <c r="AS200" s="29">
        <f>INDEX($AK$17:$AK$116,MATCH(AO200,$AA$17:$AA$116,0))</f>
        <v>79.5</v>
      </c>
      <c r="AT200" s="29">
        <f>INDEX($AK$17:$AK$116,MATCH(AP200,$AA$17:$AA$116,0))</f>
        <v>78.5</v>
      </c>
      <c r="AU200" s="29">
        <f t="shared" si="5"/>
        <v>79</v>
      </c>
      <c r="AV200" s="29">
        <f>0</f>
        <v>0</v>
      </c>
      <c r="AW200" s="29">
        <f>0</f>
        <v>0</v>
      </c>
      <c r="AY200" s="27">
        <v>112</v>
      </c>
      <c r="AZ200" s="27">
        <v>2</v>
      </c>
      <c r="BA200" s="29">
        <f>$AQ$242-AQ155</f>
        <v>22.334220944888109</v>
      </c>
      <c r="BB200" s="29">
        <f>AS155</f>
        <v>93.5</v>
      </c>
    </row>
    <row r="201" spans="15:54" x14ac:dyDescent="0.25">
      <c r="O201" s="50" t="s">
        <v>242</v>
      </c>
      <c r="P201" s="50"/>
      <c r="Q201" s="50"/>
      <c r="R201" s="50"/>
      <c r="S201" s="51" t="s">
        <v>243</v>
      </c>
      <c r="T201" s="51"/>
      <c r="U201" s="51"/>
      <c r="V201" s="51"/>
      <c r="W201" s="51"/>
      <c r="X201" s="51"/>
      <c r="Y201" s="51"/>
      <c r="Z201" s="51"/>
      <c r="AA201" s="51"/>
      <c r="AB201" s="51"/>
      <c r="AC201" s="51"/>
      <c r="AD201" s="51"/>
      <c r="AE201" s="51"/>
      <c r="AF201" s="51"/>
      <c r="AG201" s="51"/>
      <c r="AH201" s="51"/>
      <c r="AI201" s="51"/>
      <c r="AJ201" s="51"/>
      <c r="AK201" s="51"/>
      <c r="AM201" s="27">
        <v>58</v>
      </c>
      <c r="AN201" s="27">
        <v>158</v>
      </c>
      <c r="AO201" s="27">
        <v>39</v>
      </c>
      <c r="AP201" s="27">
        <v>129</v>
      </c>
      <c r="AQ201" s="29">
        <v>1.1268300467079559</v>
      </c>
      <c r="AR201" s="27">
        <v>3</v>
      </c>
      <c r="AS201" s="29">
        <f>INDEX($AK$17:$AK$116,MATCH(AO201,$AA$17:$AA$116,0))</f>
        <v>61.5</v>
      </c>
      <c r="AT201" s="29">
        <f>AU172</f>
        <v>60</v>
      </c>
      <c r="AU201" s="29">
        <f t="shared" si="5"/>
        <v>60.75</v>
      </c>
      <c r="AV201" s="29">
        <f>0</f>
        <v>0</v>
      </c>
      <c r="AW201" s="29">
        <f>AQ172</f>
        <v>0.53346365921433481</v>
      </c>
      <c r="AY201" s="27">
        <v>112</v>
      </c>
      <c r="AZ201" s="27">
        <v>3</v>
      </c>
      <c r="BA201" s="29">
        <f>$AQ$242-AQ155</f>
        <v>22.334220944888109</v>
      </c>
      <c r="BB201" s="29">
        <f>AT155</f>
        <v>91.75</v>
      </c>
    </row>
    <row r="202" spans="15:54" x14ac:dyDescent="0.25">
      <c r="O202" s="50"/>
      <c r="P202" s="50"/>
      <c r="Q202" s="50"/>
      <c r="R202" s="50"/>
      <c r="S202" s="51"/>
      <c r="T202" s="51"/>
      <c r="U202" s="51"/>
      <c r="V202" s="51"/>
      <c r="W202" s="51"/>
      <c r="X202" s="51"/>
      <c r="Y202" s="51"/>
      <c r="Z202" s="51"/>
      <c r="AA202" s="51"/>
      <c r="AB202" s="51"/>
      <c r="AC202" s="51"/>
      <c r="AD202" s="51"/>
      <c r="AE202" s="51"/>
      <c r="AF202" s="51"/>
      <c r="AG202" s="51"/>
      <c r="AH202" s="51"/>
      <c r="AI202" s="51"/>
      <c r="AJ202" s="51"/>
      <c r="AK202" s="51"/>
      <c r="AM202" s="27">
        <v>59</v>
      </c>
      <c r="AN202" s="27">
        <v>159</v>
      </c>
      <c r="AO202" s="27">
        <v>18</v>
      </c>
      <c r="AP202" s="27">
        <v>19</v>
      </c>
      <c r="AQ202" s="29">
        <v>1.174956625828903</v>
      </c>
      <c r="AR202" s="27">
        <v>2</v>
      </c>
      <c r="AS202" s="29">
        <f>INDEX($AK$17:$AK$116,MATCH(AO202,$AA$17:$AA$116,0))</f>
        <v>82.5</v>
      </c>
      <c r="AT202" s="29">
        <f>INDEX($AK$17:$AK$116,MATCH(AP202,$AA$17:$AA$116,0))</f>
        <v>81.5</v>
      </c>
      <c r="AU202" s="29">
        <f t="shared" si="5"/>
        <v>82</v>
      </c>
      <c r="AV202" s="29">
        <f>0</f>
        <v>0</v>
      </c>
      <c r="AW202" s="29">
        <f>0</f>
        <v>0</v>
      </c>
      <c r="AY202" s="27">
        <v>112</v>
      </c>
      <c r="AZ202" s="27">
        <v>4</v>
      </c>
      <c r="BA202" s="29">
        <f>$AQ$242-AW155</f>
        <v>22.334220944888109</v>
      </c>
      <c r="BB202" s="29">
        <f>AT155</f>
        <v>91.75</v>
      </c>
    </row>
    <row r="203" spans="15:54" x14ac:dyDescent="0.25">
      <c r="O203" s="50"/>
      <c r="P203" s="50"/>
      <c r="Q203" s="50"/>
      <c r="R203" s="50"/>
      <c r="S203" s="51"/>
      <c r="T203" s="51"/>
      <c r="U203" s="51"/>
      <c r="V203" s="51"/>
      <c r="W203" s="51"/>
      <c r="X203" s="51"/>
      <c r="Y203" s="51"/>
      <c r="Z203" s="51"/>
      <c r="AA203" s="51"/>
      <c r="AB203" s="51"/>
      <c r="AC203" s="51"/>
      <c r="AD203" s="51"/>
      <c r="AE203" s="51"/>
      <c r="AF203" s="51"/>
      <c r="AG203" s="51"/>
      <c r="AH203" s="51"/>
      <c r="AI203" s="51"/>
      <c r="AJ203" s="51"/>
      <c r="AK203" s="51"/>
      <c r="AM203" s="27">
        <v>60</v>
      </c>
      <c r="AN203" s="27">
        <v>160</v>
      </c>
      <c r="AO203" s="27">
        <v>91</v>
      </c>
      <c r="AP203" s="27">
        <v>92</v>
      </c>
      <c r="AQ203" s="29">
        <v>1.2147457580841181</v>
      </c>
      <c r="AR203" s="27">
        <v>2</v>
      </c>
      <c r="AS203" s="29">
        <f>INDEX($AK$17:$AK$116,MATCH(AO203,$AA$17:$AA$116,0))</f>
        <v>9.5</v>
      </c>
      <c r="AT203" s="29">
        <f>INDEX($AK$17:$AK$116,MATCH(AP203,$AA$17:$AA$116,0))</f>
        <v>8.5</v>
      </c>
      <c r="AU203" s="29">
        <f t="shared" si="5"/>
        <v>9</v>
      </c>
      <c r="AV203" s="29">
        <f>0</f>
        <v>0</v>
      </c>
      <c r="AW203" s="29">
        <f>0</f>
        <v>0</v>
      </c>
      <c r="AZ203" s="28" t="s">
        <v>159</v>
      </c>
    </row>
    <row r="204" spans="15:54" x14ac:dyDescent="0.25">
      <c r="O204" s="50" t="s">
        <v>244</v>
      </c>
      <c r="P204" s="50"/>
      <c r="Q204" s="50"/>
      <c r="R204" s="50"/>
      <c r="S204" s="51" t="s">
        <v>245</v>
      </c>
      <c r="T204" s="51"/>
      <c r="U204" s="51"/>
      <c r="V204" s="51"/>
      <c r="W204" s="51"/>
      <c r="X204" s="51"/>
      <c r="Y204" s="51"/>
      <c r="Z204" s="51"/>
      <c r="AA204" s="51"/>
      <c r="AB204" s="51"/>
      <c r="AC204" s="51"/>
      <c r="AD204" s="51"/>
      <c r="AE204" s="51"/>
      <c r="AF204" s="51"/>
      <c r="AG204" s="51"/>
      <c r="AH204" s="51"/>
      <c r="AI204" s="51"/>
      <c r="AJ204" s="51"/>
      <c r="AK204" s="51"/>
      <c r="AM204" s="27">
        <v>61</v>
      </c>
      <c r="AN204" s="27">
        <v>161</v>
      </c>
      <c r="AO204" s="27">
        <v>59</v>
      </c>
      <c r="AP204" s="27">
        <v>144</v>
      </c>
      <c r="AQ204" s="29">
        <v>1.217308762884352</v>
      </c>
      <c r="AR204" s="27">
        <v>3</v>
      </c>
      <c r="AS204" s="29">
        <f>INDEX($AK$17:$AK$116,MATCH(AO204,$AA$17:$AA$116,0))</f>
        <v>41.5</v>
      </c>
      <c r="AT204" s="29">
        <f>AU187</f>
        <v>40</v>
      </c>
      <c r="AU204" s="29">
        <f t="shared" si="5"/>
        <v>40.75</v>
      </c>
      <c r="AV204" s="29">
        <f>0</f>
        <v>0</v>
      </c>
      <c r="AW204" s="29">
        <f>AQ187</f>
        <v>0.73006958405769895</v>
      </c>
      <c r="AY204" s="27">
        <v>113</v>
      </c>
      <c r="AZ204" s="27">
        <v>1</v>
      </c>
      <c r="BA204" s="29">
        <f>$AQ$242-AV156</f>
        <v>22.334220944888109</v>
      </c>
      <c r="BB204" s="29">
        <f>AS156</f>
        <v>65.5</v>
      </c>
    </row>
    <row r="205" spans="15:54" x14ac:dyDescent="0.25">
      <c r="O205" s="50"/>
      <c r="P205" s="50"/>
      <c r="Q205" s="50"/>
      <c r="R205" s="50"/>
      <c r="S205" s="51"/>
      <c r="T205" s="51"/>
      <c r="U205" s="51"/>
      <c r="V205" s="51"/>
      <c r="W205" s="51"/>
      <c r="X205" s="51"/>
      <c r="Y205" s="51"/>
      <c r="Z205" s="51"/>
      <c r="AA205" s="51"/>
      <c r="AB205" s="51"/>
      <c r="AC205" s="51"/>
      <c r="AD205" s="51"/>
      <c r="AE205" s="51"/>
      <c r="AF205" s="51"/>
      <c r="AG205" s="51"/>
      <c r="AH205" s="51"/>
      <c r="AI205" s="51"/>
      <c r="AJ205" s="51"/>
      <c r="AK205" s="51"/>
      <c r="AM205" s="27">
        <v>62</v>
      </c>
      <c r="AN205" s="27">
        <v>162</v>
      </c>
      <c r="AO205" s="27">
        <v>67</v>
      </c>
      <c r="AP205" s="27">
        <v>125</v>
      </c>
      <c r="AQ205" s="29">
        <v>1.291598492370313</v>
      </c>
      <c r="AR205" s="27">
        <v>3</v>
      </c>
      <c r="AS205" s="29">
        <f>INDEX($AK$17:$AK$116,MATCH(AO205,$AA$17:$AA$116,0))</f>
        <v>33.5</v>
      </c>
      <c r="AT205" s="29">
        <f>AU168</f>
        <v>32</v>
      </c>
      <c r="AU205" s="29">
        <f t="shared" si="5"/>
        <v>32.75</v>
      </c>
      <c r="AV205" s="29">
        <f>0</f>
        <v>0</v>
      </c>
      <c r="AW205" s="29">
        <f>AQ168</f>
        <v>0.470652078937421</v>
      </c>
      <c r="AY205" s="27">
        <v>113</v>
      </c>
      <c r="AZ205" s="27">
        <v>2</v>
      </c>
      <c r="BA205" s="29">
        <f>$AQ$242-AQ156</f>
        <v>22.334220944888109</v>
      </c>
      <c r="BB205" s="29">
        <f>AS156</f>
        <v>65.5</v>
      </c>
    </row>
    <row r="206" spans="15:54" x14ac:dyDescent="0.25">
      <c r="O206" s="50"/>
      <c r="P206" s="50"/>
      <c r="Q206" s="50"/>
      <c r="R206" s="50"/>
      <c r="S206" s="51"/>
      <c r="T206" s="51"/>
      <c r="U206" s="51"/>
      <c r="V206" s="51"/>
      <c r="W206" s="51"/>
      <c r="X206" s="51"/>
      <c r="Y206" s="51"/>
      <c r="Z206" s="51"/>
      <c r="AA206" s="51"/>
      <c r="AB206" s="51"/>
      <c r="AC206" s="51"/>
      <c r="AD206" s="51"/>
      <c r="AE206" s="51"/>
      <c r="AF206" s="51"/>
      <c r="AG206" s="51"/>
      <c r="AH206" s="51"/>
      <c r="AI206" s="51"/>
      <c r="AJ206" s="51"/>
      <c r="AK206" s="51"/>
      <c r="AM206" s="27">
        <v>63</v>
      </c>
      <c r="AN206" s="27">
        <v>163</v>
      </c>
      <c r="AO206" s="27">
        <v>78</v>
      </c>
      <c r="AP206" s="27">
        <v>150</v>
      </c>
      <c r="AQ206" s="29">
        <v>1.3744872997147131</v>
      </c>
      <c r="AR206" s="27">
        <v>5</v>
      </c>
      <c r="AS206" s="29">
        <f>INDEX($AK$17:$AK$116,MATCH(AO206,$AA$17:$AA$116,0))</f>
        <v>22.5</v>
      </c>
      <c r="AT206" s="29">
        <f>AU193</f>
        <v>20</v>
      </c>
      <c r="AU206" s="29">
        <f t="shared" si="5"/>
        <v>21.25</v>
      </c>
      <c r="AV206" s="29">
        <f>0</f>
        <v>0</v>
      </c>
      <c r="AW206" s="29">
        <f>AQ193</f>
        <v>0.86722548783582876</v>
      </c>
      <c r="AY206" s="27">
        <v>113</v>
      </c>
      <c r="AZ206" s="27">
        <v>3</v>
      </c>
      <c r="BA206" s="29">
        <f>$AQ$242-AQ156</f>
        <v>22.334220944888109</v>
      </c>
      <c r="BB206" s="29">
        <f>AT156</f>
        <v>64.5</v>
      </c>
    </row>
    <row r="207" spans="15:54" x14ac:dyDescent="0.25">
      <c r="O207" s="50" t="s">
        <v>246</v>
      </c>
      <c r="P207" s="50"/>
      <c r="Q207" s="50"/>
      <c r="R207" s="50"/>
      <c r="S207" s="51" t="s">
        <v>247</v>
      </c>
      <c r="T207" s="51"/>
      <c r="U207" s="51"/>
      <c r="V207" s="51"/>
      <c r="W207" s="51"/>
      <c r="X207" s="51"/>
      <c r="Y207" s="51"/>
      <c r="Z207" s="51"/>
      <c r="AA207" s="51"/>
      <c r="AB207" s="51"/>
      <c r="AC207" s="51"/>
      <c r="AD207" s="51"/>
      <c r="AE207" s="51"/>
      <c r="AF207" s="51"/>
      <c r="AG207" s="51"/>
      <c r="AH207" s="51"/>
      <c r="AI207" s="51"/>
      <c r="AJ207" s="51"/>
      <c r="AK207" s="51"/>
      <c r="AM207" s="27">
        <v>64</v>
      </c>
      <c r="AN207" s="27">
        <v>164</v>
      </c>
      <c r="AO207" s="27">
        <v>123</v>
      </c>
      <c r="AP207" s="27">
        <v>140</v>
      </c>
      <c r="AQ207" s="29">
        <v>1.391366662853075</v>
      </c>
      <c r="AR207" s="27">
        <v>6</v>
      </c>
      <c r="AS207" s="29">
        <f>AU166</f>
        <v>77</v>
      </c>
      <c r="AT207" s="29">
        <f>AU183</f>
        <v>74.625</v>
      </c>
      <c r="AU207" s="29">
        <f t="shared" si="5"/>
        <v>75.8125</v>
      </c>
      <c r="AV207" s="29">
        <f>AQ166</f>
        <v>0.47065207893742089</v>
      </c>
      <c r="AW207" s="29">
        <f>AQ183</f>
        <v>0.64503840227609721</v>
      </c>
      <c r="AY207" s="27">
        <v>113</v>
      </c>
      <c r="AZ207" s="27">
        <v>4</v>
      </c>
      <c r="BA207" s="29">
        <f>$AQ$242-AW156</f>
        <v>22.334220944888109</v>
      </c>
      <c r="BB207" s="29">
        <f>AT156</f>
        <v>64.5</v>
      </c>
    </row>
    <row r="208" spans="15:54" x14ac:dyDescent="0.25">
      <c r="O208" s="50"/>
      <c r="P208" s="50"/>
      <c r="Q208" s="50"/>
      <c r="R208" s="50"/>
      <c r="S208" s="51"/>
      <c r="T208" s="51"/>
      <c r="U208" s="51"/>
      <c r="V208" s="51"/>
      <c r="W208" s="51"/>
      <c r="X208" s="51"/>
      <c r="Y208" s="51"/>
      <c r="Z208" s="51"/>
      <c r="AA208" s="51"/>
      <c r="AB208" s="51"/>
      <c r="AC208" s="51"/>
      <c r="AD208" s="51"/>
      <c r="AE208" s="51"/>
      <c r="AF208" s="51"/>
      <c r="AG208" s="51"/>
      <c r="AH208" s="51"/>
      <c r="AI208" s="51"/>
      <c r="AJ208" s="51"/>
      <c r="AK208" s="51"/>
      <c r="AM208" s="27">
        <v>65</v>
      </c>
      <c r="AN208" s="27">
        <v>165</v>
      </c>
      <c r="AO208" s="27">
        <v>133</v>
      </c>
      <c r="AP208" s="27">
        <v>154</v>
      </c>
      <c r="AQ208" s="29">
        <v>1.4096385449638349</v>
      </c>
      <c r="AR208" s="27">
        <v>6</v>
      </c>
      <c r="AS208" s="29">
        <f>AU176</f>
        <v>30</v>
      </c>
      <c r="AT208" s="29">
        <f>AU197</f>
        <v>27.625</v>
      </c>
      <c r="AU208" s="29">
        <f t="shared" ref="AU208:AU239" si="6">AVERAGE(AS208:AT208)</f>
        <v>28.8125</v>
      </c>
      <c r="AV208" s="29">
        <f>AQ176</f>
        <v>0.55811129549406657</v>
      </c>
      <c r="AW208" s="29">
        <f>AQ197</f>
        <v>1.00741537365718</v>
      </c>
      <c r="AZ208" s="28" t="s">
        <v>159</v>
      </c>
    </row>
    <row r="209" spans="15:54" x14ac:dyDescent="0.25">
      <c r="O209" s="50"/>
      <c r="P209" s="50"/>
      <c r="Q209" s="50"/>
      <c r="R209" s="50"/>
      <c r="S209" s="51"/>
      <c r="T209" s="51"/>
      <c r="U209" s="51"/>
      <c r="V209" s="51"/>
      <c r="W209" s="51"/>
      <c r="X209" s="51"/>
      <c r="Y209" s="51"/>
      <c r="Z209" s="51"/>
      <c r="AA209" s="51"/>
      <c r="AB209" s="51"/>
      <c r="AC209" s="51"/>
      <c r="AD209" s="51"/>
      <c r="AE209" s="51"/>
      <c r="AF209" s="51"/>
      <c r="AG209" s="51"/>
      <c r="AH209" s="51"/>
      <c r="AI209" s="51"/>
      <c r="AJ209" s="51"/>
      <c r="AK209" s="51"/>
      <c r="AM209" s="27">
        <v>66</v>
      </c>
      <c r="AN209" s="27">
        <v>166</v>
      </c>
      <c r="AO209" s="27">
        <v>105</v>
      </c>
      <c r="AP209" s="27">
        <v>148</v>
      </c>
      <c r="AQ209" s="29">
        <v>1.458262130866024</v>
      </c>
      <c r="AR209" s="27">
        <v>5</v>
      </c>
      <c r="AS209" s="29">
        <f>AU148</f>
        <v>58</v>
      </c>
      <c r="AT209" s="29">
        <f>AU191</f>
        <v>55.75</v>
      </c>
      <c r="AU209" s="29">
        <f t="shared" si="6"/>
        <v>56.875</v>
      </c>
      <c r="AV209" s="29">
        <f>AQ148</f>
        <v>0</v>
      </c>
      <c r="AW209" s="29">
        <f>AQ191</f>
        <v>0.81519331340753087</v>
      </c>
      <c r="AY209" s="27">
        <v>114</v>
      </c>
      <c r="AZ209" s="27">
        <v>1</v>
      </c>
      <c r="BA209" s="29">
        <f>$AQ$242-AV157</f>
        <v>22.334220944888109</v>
      </c>
      <c r="BB209" s="29">
        <f>AS157</f>
        <v>66.5</v>
      </c>
    </row>
    <row r="210" spans="15:54" x14ac:dyDescent="0.25">
      <c r="O210" s="50" t="s">
        <v>248</v>
      </c>
      <c r="P210" s="50"/>
      <c r="Q210" s="50"/>
      <c r="R210" s="50"/>
      <c r="S210" s="51" t="s">
        <v>249</v>
      </c>
      <c r="T210" s="51"/>
      <c r="U210" s="51"/>
      <c r="V210" s="51"/>
      <c r="W210" s="51"/>
      <c r="X210" s="51"/>
      <c r="Y210" s="51"/>
      <c r="Z210" s="51"/>
      <c r="AA210" s="51"/>
      <c r="AB210" s="51"/>
      <c r="AC210" s="51"/>
      <c r="AD210" s="51"/>
      <c r="AE210" s="51"/>
      <c r="AF210" s="51"/>
      <c r="AG210" s="51"/>
      <c r="AH210" s="51"/>
      <c r="AI210" s="51"/>
      <c r="AJ210" s="51"/>
      <c r="AK210" s="51"/>
      <c r="AM210" s="27">
        <v>67</v>
      </c>
      <c r="AN210" s="27">
        <v>167</v>
      </c>
      <c r="AO210" s="27">
        <v>47</v>
      </c>
      <c r="AP210" s="27">
        <v>156</v>
      </c>
      <c r="AQ210" s="29">
        <v>1.528669168042847</v>
      </c>
      <c r="AR210" s="27">
        <v>3</v>
      </c>
      <c r="AS210" s="29">
        <f>INDEX($AK$17:$AK$116,MATCH(AO210,$AA$17:$AA$116,0))</f>
        <v>53.5</v>
      </c>
      <c r="AT210" s="29">
        <f>AU199</f>
        <v>52</v>
      </c>
      <c r="AU210" s="29">
        <f t="shared" si="6"/>
        <v>52.75</v>
      </c>
      <c r="AV210" s="29">
        <f>0</f>
        <v>0</v>
      </c>
      <c r="AW210" s="29">
        <f>AQ199</f>
        <v>1.0906907901993981</v>
      </c>
      <c r="AY210" s="27">
        <v>114</v>
      </c>
      <c r="AZ210" s="27">
        <v>2</v>
      </c>
      <c r="BA210" s="29">
        <f>$AQ$242-AQ157</f>
        <v>22.334220944888109</v>
      </c>
      <c r="BB210" s="29">
        <f>AS157</f>
        <v>66.5</v>
      </c>
    </row>
    <row r="211" spans="15:54" x14ac:dyDescent="0.25">
      <c r="O211" s="50"/>
      <c r="P211" s="50"/>
      <c r="Q211" s="50"/>
      <c r="R211" s="50"/>
      <c r="S211" s="51"/>
      <c r="T211" s="51"/>
      <c r="U211" s="51"/>
      <c r="V211" s="51"/>
      <c r="W211" s="51"/>
      <c r="X211" s="51"/>
      <c r="Y211" s="51"/>
      <c r="Z211" s="51"/>
      <c r="AA211" s="51"/>
      <c r="AB211" s="51"/>
      <c r="AC211" s="51"/>
      <c r="AD211" s="51"/>
      <c r="AE211" s="51"/>
      <c r="AF211" s="51"/>
      <c r="AG211" s="51"/>
      <c r="AH211" s="51"/>
      <c r="AI211" s="51"/>
      <c r="AJ211" s="51"/>
      <c r="AK211" s="51"/>
      <c r="AM211" s="27">
        <v>68</v>
      </c>
      <c r="AN211" s="27">
        <v>168</v>
      </c>
      <c r="AO211" s="27">
        <v>51</v>
      </c>
      <c r="AP211" s="27">
        <v>52</v>
      </c>
      <c r="AQ211" s="29">
        <v>1.53320400081754</v>
      </c>
      <c r="AR211" s="27">
        <v>2</v>
      </c>
      <c r="AS211" s="29">
        <f>INDEX($AK$17:$AK$116,MATCH(AO211,$AA$17:$AA$116,0))</f>
        <v>49.5</v>
      </c>
      <c r="AT211" s="29">
        <f>INDEX($AK$17:$AK$116,MATCH(AP211,$AA$17:$AA$116,0))</f>
        <v>48.5</v>
      </c>
      <c r="AU211" s="29">
        <f t="shared" si="6"/>
        <v>49</v>
      </c>
      <c r="AV211" s="29">
        <f>0</f>
        <v>0</v>
      </c>
      <c r="AW211" s="29">
        <f>0</f>
        <v>0</v>
      </c>
      <c r="AY211" s="27">
        <v>114</v>
      </c>
      <c r="AZ211" s="27">
        <v>3</v>
      </c>
      <c r="BA211" s="29">
        <f>$AQ$242-AQ157</f>
        <v>22.334220944888109</v>
      </c>
      <c r="BB211" s="29">
        <f>AT157</f>
        <v>65</v>
      </c>
    </row>
    <row r="212" spans="15:54" x14ac:dyDescent="0.25">
      <c r="O212" s="50"/>
      <c r="P212" s="50"/>
      <c r="Q212" s="50"/>
      <c r="R212" s="50"/>
      <c r="S212" s="51"/>
      <c r="T212" s="51"/>
      <c r="U212" s="51"/>
      <c r="V212" s="51"/>
      <c r="W212" s="51"/>
      <c r="X212" s="51"/>
      <c r="Y212" s="51"/>
      <c r="Z212" s="51"/>
      <c r="AA212" s="51"/>
      <c r="AB212" s="51"/>
      <c r="AC212" s="51"/>
      <c r="AD212" s="51"/>
      <c r="AE212" s="51"/>
      <c r="AF212" s="51"/>
      <c r="AG212" s="51"/>
      <c r="AH212" s="51"/>
      <c r="AI212" s="51"/>
      <c r="AJ212" s="51"/>
      <c r="AK212" s="51"/>
      <c r="AM212" s="27">
        <v>69</v>
      </c>
      <c r="AN212" s="27">
        <v>169</v>
      </c>
      <c r="AO212" s="27">
        <v>83</v>
      </c>
      <c r="AP212" s="27">
        <v>155</v>
      </c>
      <c r="AQ212" s="29">
        <v>1.5715167508350609</v>
      </c>
      <c r="AR212" s="27">
        <v>5</v>
      </c>
      <c r="AS212" s="29">
        <f>INDEX($AK$17:$AK$116,MATCH(AO212,$AA$17:$AA$116,0))</f>
        <v>17.5</v>
      </c>
      <c r="AT212" s="29">
        <f>AU198</f>
        <v>15</v>
      </c>
      <c r="AU212" s="29">
        <f t="shared" si="6"/>
        <v>16.25</v>
      </c>
      <c r="AV212" s="29">
        <f>0</f>
        <v>0</v>
      </c>
      <c r="AW212" s="29">
        <f>AQ198</f>
        <v>1.0212416880353139</v>
      </c>
      <c r="AY212" s="27">
        <v>114</v>
      </c>
      <c r="AZ212" s="27">
        <v>4</v>
      </c>
      <c r="BA212" s="29">
        <f>$AQ$242-AW157</f>
        <v>22.334220944888109</v>
      </c>
      <c r="BB212" s="29">
        <f>AT157</f>
        <v>65</v>
      </c>
    </row>
    <row r="213" spans="15:54" x14ac:dyDescent="0.25">
      <c r="AM213" s="27">
        <v>70</v>
      </c>
      <c r="AN213" s="27">
        <v>170</v>
      </c>
      <c r="AO213" s="27">
        <v>153</v>
      </c>
      <c r="AP213" s="27">
        <v>159</v>
      </c>
      <c r="AQ213" s="29">
        <v>1.618982009183894</v>
      </c>
      <c r="AR213" s="27">
        <v>4</v>
      </c>
      <c r="AS213" s="29">
        <f>AU196</f>
        <v>84</v>
      </c>
      <c r="AT213" s="29">
        <f>AU202</f>
        <v>82</v>
      </c>
      <c r="AU213" s="29">
        <f t="shared" si="6"/>
        <v>83</v>
      </c>
      <c r="AV213" s="29">
        <f>AQ196</f>
        <v>0.93120782843736361</v>
      </c>
      <c r="AW213" s="29">
        <f>AQ202</f>
        <v>1.174956625828903</v>
      </c>
      <c r="AZ213" s="28" t="s">
        <v>159</v>
      </c>
    </row>
    <row r="214" spans="15:54" x14ac:dyDescent="0.25">
      <c r="AM214" s="27">
        <v>71</v>
      </c>
      <c r="AN214" s="27">
        <v>171</v>
      </c>
      <c r="AO214" s="27">
        <v>88</v>
      </c>
      <c r="AP214" s="27">
        <v>130</v>
      </c>
      <c r="AQ214" s="29">
        <v>1.6852010927160861</v>
      </c>
      <c r="AR214" s="27">
        <v>3</v>
      </c>
      <c r="AS214" s="29">
        <f>INDEX($AK$17:$AK$116,MATCH(AO214,$AA$17:$AA$116,0))</f>
        <v>12.5</v>
      </c>
      <c r="AT214" s="29">
        <f>AU173</f>
        <v>11</v>
      </c>
      <c r="AU214" s="29">
        <f t="shared" si="6"/>
        <v>11.75</v>
      </c>
      <c r="AV214" s="29">
        <f>0</f>
        <v>0</v>
      </c>
      <c r="AW214" s="29">
        <f>AQ173</f>
        <v>0.54124497670219096</v>
      </c>
      <c r="AY214" s="27">
        <v>115</v>
      </c>
      <c r="AZ214" s="27">
        <v>1</v>
      </c>
      <c r="BA214" s="29">
        <f>$AQ$242-AV158</f>
        <v>22.334220944888109</v>
      </c>
      <c r="BB214" s="29">
        <f>AS158</f>
        <v>63.5</v>
      </c>
    </row>
    <row r="215" spans="15:54" x14ac:dyDescent="0.25">
      <c r="AM215" s="27">
        <v>72</v>
      </c>
      <c r="AN215" s="27">
        <v>172</v>
      </c>
      <c r="AO215" s="27">
        <v>128</v>
      </c>
      <c r="AP215" s="27">
        <v>162</v>
      </c>
      <c r="AQ215" s="29">
        <v>1.6889159956155591</v>
      </c>
      <c r="AR215" s="27">
        <v>5</v>
      </c>
      <c r="AS215" s="29">
        <f>AU171</f>
        <v>35</v>
      </c>
      <c r="AT215" s="29">
        <f>AU205</f>
        <v>32.75</v>
      </c>
      <c r="AU215" s="29">
        <f t="shared" si="6"/>
        <v>33.875</v>
      </c>
      <c r="AV215" s="29">
        <f>AQ171</f>
        <v>0.5334636592143347</v>
      </c>
      <c r="AW215" s="29">
        <f>AQ205</f>
        <v>1.291598492370313</v>
      </c>
      <c r="AY215" s="27">
        <v>115</v>
      </c>
      <c r="AZ215" s="27">
        <v>2</v>
      </c>
      <c r="BA215" s="29">
        <f>$AQ$242-AQ158</f>
        <v>22.334220944888109</v>
      </c>
      <c r="BB215" s="29">
        <f>AS158</f>
        <v>63.5</v>
      </c>
    </row>
    <row r="216" spans="15:54" x14ac:dyDescent="0.25">
      <c r="O216" s="39" t="s">
        <v>250</v>
      </c>
      <c r="P216" s="39"/>
      <c r="Q216" s="39"/>
      <c r="R216" s="39"/>
      <c r="S216" s="39"/>
      <c r="AM216" s="27">
        <v>73</v>
      </c>
      <c r="AN216" s="27">
        <v>173</v>
      </c>
      <c r="AO216" s="27">
        <v>124</v>
      </c>
      <c r="AP216" s="27">
        <v>163</v>
      </c>
      <c r="AQ216" s="29">
        <v>1.7177032264879399</v>
      </c>
      <c r="AR216" s="27">
        <v>7</v>
      </c>
      <c r="AS216" s="29">
        <f>AU167</f>
        <v>24</v>
      </c>
      <c r="AT216" s="29">
        <f>AU206</f>
        <v>21.25</v>
      </c>
      <c r="AU216" s="29">
        <f t="shared" si="6"/>
        <v>22.625</v>
      </c>
      <c r="AV216" s="29">
        <f>AQ167</f>
        <v>0.47065207893742089</v>
      </c>
      <c r="AW216" s="29">
        <f>AQ206</f>
        <v>1.3744872997147131</v>
      </c>
      <c r="AY216" s="27">
        <v>115</v>
      </c>
      <c r="AZ216" s="27">
        <v>3</v>
      </c>
      <c r="BA216" s="29">
        <f>$AQ$242-AQ158</f>
        <v>22.334220944888109</v>
      </c>
      <c r="BB216" s="29">
        <f>AT158</f>
        <v>62.5</v>
      </c>
    </row>
    <row r="217" spans="15:54" x14ac:dyDescent="0.25">
      <c r="AM217" s="27">
        <v>74</v>
      </c>
      <c r="AN217" s="27">
        <v>174</v>
      </c>
      <c r="AO217" s="27">
        <v>136</v>
      </c>
      <c r="AP217" s="27">
        <v>143</v>
      </c>
      <c r="AQ217" s="29">
        <v>1.9099578964405419</v>
      </c>
      <c r="AR217" s="27">
        <v>10</v>
      </c>
      <c r="AS217" s="29">
        <f>AU179</f>
        <v>70.5625</v>
      </c>
      <c r="AT217" s="29">
        <f>AU186</f>
        <v>64.375</v>
      </c>
      <c r="AU217" s="29">
        <f t="shared" si="6"/>
        <v>67.46875</v>
      </c>
      <c r="AV217" s="29">
        <f>AQ179</f>
        <v>0.59533302197424443</v>
      </c>
      <c r="AW217" s="29">
        <f>AQ186</f>
        <v>0.72913106543301209</v>
      </c>
      <c r="AY217" s="27">
        <v>115</v>
      </c>
      <c r="AZ217" s="27">
        <v>4</v>
      </c>
      <c r="BA217" s="29">
        <f>$AQ$242-AW158</f>
        <v>22.334220944888109</v>
      </c>
      <c r="BB217" s="29">
        <f>AT158</f>
        <v>62.5</v>
      </c>
    </row>
    <row r="218" spans="15:54" x14ac:dyDescent="0.25">
      <c r="AM218" s="27">
        <v>75</v>
      </c>
      <c r="AN218" s="27">
        <v>175</v>
      </c>
      <c r="AO218" s="27">
        <v>20</v>
      </c>
      <c r="AP218" s="27">
        <v>157</v>
      </c>
      <c r="AQ218" s="29">
        <v>2.049379379123911</v>
      </c>
      <c r="AR218" s="27">
        <v>3</v>
      </c>
      <c r="AS218" s="29">
        <f>INDEX($AK$17:$AK$116,MATCH(AO218,$AA$17:$AA$116,0))</f>
        <v>80.5</v>
      </c>
      <c r="AT218" s="29">
        <f>AU200</f>
        <v>79</v>
      </c>
      <c r="AU218" s="29">
        <f t="shared" si="6"/>
        <v>79.75</v>
      </c>
      <c r="AV218" s="29">
        <f>0</f>
        <v>0</v>
      </c>
      <c r="AW218" s="29">
        <f>AQ200</f>
        <v>1.1085202608404969</v>
      </c>
      <c r="AZ218" s="28" t="s">
        <v>159</v>
      </c>
    </row>
    <row r="219" spans="15:54" x14ac:dyDescent="0.25">
      <c r="AM219" s="27">
        <v>76</v>
      </c>
      <c r="AN219" s="27">
        <v>176</v>
      </c>
      <c r="AO219" s="27">
        <v>137</v>
      </c>
      <c r="AP219" s="27">
        <v>142</v>
      </c>
      <c r="AQ219" s="29">
        <v>2.0517835537250679</v>
      </c>
      <c r="AR219" s="27">
        <v>10</v>
      </c>
      <c r="AS219" s="29">
        <f>AU180</f>
        <v>93.5625</v>
      </c>
      <c r="AT219" s="29">
        <f>AU185</f>
        <v>87.375</v>
      </c>
      <c r="AU219" s="29">
        <f t="shared" si="6"/>
        <v>90.46875</v>
      </c>
      <c r="AV219" s="29">
        <f>AQ180</f>
        <v>0.59533302197424443</v>
      </c>
      <c r="AW219" s="29">
        <f>AQ185</f>
        <v>0.72913106543301209</v>
      </c>
      <c r="AY219" s="27">
        <v>116</v>
      </c>
      <c r="AZ219" s="27">
        <v>1</v>
      </c>
      <c r="BA219" s="29">
        <f>$AQ$242-AV159</f>
        <v>22.334220944888109</v>
      </c>
      <c r="BB219" s="29">
        <f>AS159</f>
        <v>26.5</v>
      </c>
    </row>
    <row r="220" spans="15:54" x14ac:dyDescent="0.25">
      <c r="AM220" s="27">
        <v>77</v>
      </c>
      <c r="AN220" s="27">
        <v>177</v>
      </c>
      <c r="AO220" s="27">
        <v>138</v>
      </c>
      <c r="AP220" s="27">
        <v>172</v>
      </c>
      <c r="AQ220" s="29">
        <v>2.0592823292454709</v>
      </c>
      <c r="AR220" s="27">
        <v>8</v>
      </c>
      <c r="AS220" s="29">
        <f>AU181</f>
        <v>37.75</v>
      </c>
      <c r="AT220" s="29">
        <f>AU215</f>
        <v>33.875</v>
      </c>
      <c r="AU220" s="29">
        <f t="shared" si="6"/>
        <v>35.8125</v>
      </c>
      <c r="AV220" s="29">
        <f>AQ181</f>
        <v>0.61599077450055784</v>
      </c>
      <c r="AW220" s="29">
        <f>AQ215</f>
        <v>1.6889159956155591</v>
      </c>
      <c r="AY220" s="27">
        <v>116</v>
      </c>
      <c r="AZ220" s="27">
        <v>2</v>
      </c>
      <c r="BA220" s="29">
        <f>$AQ$242-AQ159</f>
        <v>22.334220944888109</v>
      </c>
      <c r="BB220" s="29">
        <f>AS159</f>
        <v>26.5</v>
      </c>
    </row>
    <row r="221" spans="15:54" x14ac:dyDescent="0.25">
      <c r="AM221" s="27">
        <v>78</v>
      </c>
      <c r="AN221" s="27">
        <v>178</v>
      </c>
      <c r="AO221" s="27">
        <v>158</v>
      </c>
      <c r="AP221" s="27">
        <v>166</v>
      </c>
      <c r="AQ221" s="29">
        <v>2.1821107965647002</v>
      </c>
      <c r="AR221" s="27">
        <v>8</v>
      </c>
      <c r="AS221" s="29">
        <f>AU201</f>
        <v>60.75</v>
      </c>
      <c r="AT221" s="29">
        <f>AU209</f>
        <v>56.875</v>
      </c>
      <c r="AU221" s="29">
        <f t="shared" si="6"/>
        <v>58.8125</v>
      </c>
      <c r="AV221" s="29">
        <f>AQ201</f>
        <v>1.1268300467079559</v>
      </c>
      <c r="AW221" s="29">
        <f>AQ209</f>
        <v>1.458262130866024</v>
      </c>
      <c r="AY221" s="27">
        <v>116</v>
      </c>
      <c r="AZ221" s="27">
        <v>3</v>
      </c>
      <c r="BA221" s="29">
        <f>$AQ$242-AQ159</f>
        <v>22.334220944888109</v>
      </c>
      <c r="BB221" s="29">
        <f>AT159</f>
        <v>25.5</v>
      </c>
    </row>
    <row r="222" spans="15:54" x14ac:dyDescent="0.25">
      <c r="AM222" s="27">
        <v>79</v>
      </c>
      <c r="AN222" s="27">
        <v>179</v>
      </c>
      <c r="AO222" s="27">
        <v>146</v>
      </c>
      <c r="AP222" s="27">
        <v>147</v>
      </c>
      <c r="AQ222" s="29">
        <v>2.2397266595504379</v>
      </c>
      <c r="AR222" s="27">
        <v>8</v>
      </c>
      <c r="AS222" s="29">
        <f>AU189</f>
        <v>6.625</v>
      </c>
      <c r="AT222" s="29">
        <f>AU190</f>
        <v>2.625</v>
      </c>
      <c r="AU222" s="29">
        <f t="shared" si="6"/>
        <v>4.625</v>
      </c>
      <c r="AV222" s="29">
        <f>AQ189</f>
        <v>0.76857162651786071</v>
      </c>
      <c r="AW222" s="29">
        <f>AQ190</f>
        <v>0.76857162651786071</v>
      </c>
      <c r="AY222" s="27">
        <v>116</v>
      </c>
      <c r="AZ222" s="27">
        <v>4</v>
      </c>
      <c r="BA222" s="29">
        <f>$AQ$242-AW159</f>
        <v>22.334220944888109</v>
      </c>
      <c r="BB222" s="29">
        <f>AT159</f>
        <v>25.5</v>
      </c>
    </row>
    <row r="223" spans="15:54" x14ac:dyDescent="0.25">
      <c r="AM223" s="27">
        <v>80</v>
      </c>
      <c r="AN223" s="27">
        <v>180</v>
      </c>
      <c r="AO223" s="27">
        <v>50</v>
      </c>
      <c r="AP223" s="27">
        <v>168</v>
      </c>
      <c r="AQ223" s="29">
        <v>2.3320883998533088</v>
      </c>
      <c r="AR223" s="27">
        <v>3</v>
      </c>
      <c r="AS223" s="29">
        <f>INDEX($AK$17:$AK$116,MATCH(AO223,$AA$17:$AA$116,0))</f>
        <v>50.5</v>
      </c>
      <c r="AT223" s="29">
        <f>AU211</f>
        <v>49</v>
      </c>
      <c r="AU223" s="29">
        <f t="shared" si="6"/>
        <v>49.75</v>
      </c>
      <c r="AV223" s="29">
        <f>0</f>
        <v>0</v>
      </c>
      <c r="AW223" s="29">
        <f>AQ211</f>
        <v>1.53320400081754</v>
      </c>
      <c r="AZ223" s="28" t="s">
        <v>159</v>
      </c>
    </row>
    <row r="224" spans="15:54" x14ac:dyDescent="0.25">
      <c r="AM224" s="27">
        <v>81</v>
      </c>
      <c r="AN224" s="27">
        <v>181</v>
      </c>
      <c r="AO224" s="27">
        <v>58</v>
      </c>
      <c r="AP224" s="27">
        <v>161</v>
      </c>
      <c r="AQ224" s="29">
        <v>2.430519978399809</v>
      </c>
      <c r="AR224" s="27">
        <v>4</v>
      </c>
      <c r="AS224" s="29">
        <f>INDEX($AK$17:$AK$116,MATCH(AO224,$AA$17:$AA$116,0))</f>
        <v>42.5</v>
      </c>
      <c r="AT224" s="29">
        <f>AU204</f>
        <v>40.75</v>
      </c>
      <c r="AU224" s="29">
        <f t="shared" si="6"/>
        <v>41.625</v>
      </c>
      <c r="AV224" s="29">
        <f>0</f>
        <v>0</v>
      </c>
      <c r="AW224" s="29">
        <f>AQ204</f>
        <v>1.217308762884352</v>
      </c>
      <c r="AY224" s="27">
        <v>117</v>
      </c>
      <c r="AZ224" s="27">
        <v>1</v>
      </c>
      <c r="BA224" s="29">
        <f>$AQ$242-AV160</f>
        <v>22.334220944888109</v>
      </c>
      <c r="BB224" s="29">
        <f>AS160</f>
        <v>37.5</v>
      </c>
    </row>
    <row r="225" spans="39:54" x14ac:dyDescent="0.25">
      <c r="AM225" s="27">
        <v>82</v>
      </c>
      <c r="AN225" s="27">
        <v>182</v>
      </c>
      <c r="AO225" s="27">
        <v>165</v>
      </c>
      <c r="AP225" s="27">
        <v>173</v>
      </c>
      <c r="AQ225" s="29">
        <v>2.6588923176304511</v>
      </c>
      <c r="AR225" s="27">
        <v>13</v>
      </c>
      <c r="AS225" s="29">
        <f>AU208</f>
        <v>28.8125</v>
      </c>
      <c r="AT225" s="29">
        <f>AU216</f>
        <v>22.625</v>
      </c>
      <c r="AU225" s="29">
        <f t="shared" si="6"/>
        <v>25.71875</v>
      </c>
      <c r="AV225" s="29">
        <f>AQ208</f>
        <v>1.4096385449638349</v>
      </c>
      <c r="AW225" s="29">
        <f>AQ216</f>
        <v>1.7177032264879399</v>
      </c>
      <c r="AY225" s="27">
        <v>117</v>
      </c>
      <c r="AZ225" s="27">
        <v>2</v>
      </c>
      <c r="BA225" s="29">
        <f>$AQ$242-AQ160</f>
        <v>22.334220944888109</v>
      </c>
      <c r="BB225" s="29">
        <f>AS160</f>
        <v>37.5</v>
      </c>
    </row>
    <row r="226" spans="39:54" x14ac:dyDescent="0.25">
      <c r="AM226" s="27">
        <v>83</v>
      </c>
      <c r="AN226" s="27">
        <v>183</v>
      </c>
      <c r="AO226" s="27">
        <v>152</v>
      </c>
      <c r="AP226" s="27">
        <v>181</v>
      </c>
      <c r="AQ226" s="29">
        <v>2.780917378989809</v>
      </c>
      <c r="AR226" s="27">
        <v>7</v>
      </c>
      <c r="AS226" s="29">
        <f>AU195</f>
        <v>44.75</v>
      </c>
      <c r="AT226" s="29">
        <f>AU224</f>
        <v>41.625</v>
      </c>
      <c r="AU226" s="29">
        <f t="shared" si="6"/>
        <v>43.1875</v>
      </c>
      <c r="AV226" s="29">
        <f>AQ195</f>
        <v>0.88281499048658152</v>
      </c>
      <c r="AW226" s="29">
        <f>AQ224</f>
        <v>2.430519978399809</v>
      </c>
      <c r="AY226" s="27">
        <v>117</v>
      </c>
      <c r="AZ226" s="27">
        <v>3</v>
      </c>
      <c r="BA226" s="29">
        <f>$AQ$242-AQ160</f>
        <v>22.334220944888109</v>
      </c>
      <c r="BB226" s="29">
        <f>AT160</f>
        <v>36.5</v>
      </c>
    </row>
    <row r="227" spans="39:54" x14ac:dyDescent="0.25">
      <c r="AM227" s="27">
        <v>84</v>
      </c>
      <c r="AN227" s="27">
        <v>184</v>
      </c>
      <c r="AO227" s="27">
        <v>169</v>
      </c>
      <c r="AP227" s="27">
        <v>171</v>
      </c>
      <c r="AQ227" s="29">
        <v>2.8248378092729021</v>
      </c>
      <c r="AR227" s="27">
        <v>8</v>
      </c>
      <c r="AS227" s="29">
        <f>AU212</f>
        <v>16.25</v>
      </c>
      <c r="AT227" s="29">
        <f>AU214</f>
        <v>11.75</v>
      </c>
      <c r="AU227" s="29">
        <f t="shared" si="6"/>
        <v>14</v>
      </c>
      <c r="AV227" s="29">
        <f>AQ212</f>
        <v>1.5715167508350609</v>
      </c>
      <c r="AW227" s="29">
        <f>AQ214</f>
        <v>1.6852010927160861</v>
      </c>
      <c r="AY227" s="27">
        <v>117</v>
      </c>
      <c r="AZ227" s="27">
        <v>4</v>
      </c>
      <c r="BA227" s="29">
        <f>$AQ$242-AW160</f>
        <v>22.334220944888109</v>
      </c>
      <c r="BB227" s="29">
        <f>AT160</f>
        <v>36.5</v>
      </c>
    </row>
    <row r="228" spans="39:54" x14ac:dyDescent="0.25">
      <c r="AM228" s="27">
        <v>85</v>
      </c>
      <c r="AN228" s="27">
        <v>185</v>
      </c>
      <c r="AO228" s="27">
        <v>167</v>
      </c>
      <c r="AP228" s="27">
        <v>180</v>
      </c>
      <c r="AQ228" s="29">
        <v>2.9404374099116519</v>
      </c>
      <c r="AR228" s="27">
        <v>6</v>
      </c>
      <c r="AS228" s="29">
        <f>AU210</f>
        <v>52.75</v>
      </c>
      <c r="AT228" s="29">
        <f>AU223</f>
        <v>49.75</v>
      </c>
      <c r="AU228" s="29">
        <f t="shared" si="6"/>
        <v>51.25</v>
      </c>
      <c r="AV228" s="29">
        <f>AQ210</f>
        <v>1.528669168042847</v>
      </c>
      <c r="AW228" s="29">
        <f>AQ223</f>
        <v>2.3320883998533088</v>
      </c>
      <c r="AZ228" s="28" t="s">
        <v>159</v>
      </c>
    </row>
    <row r="229" spans="39:54" x14ac:dyDescent="0.25">
      <c r="AM229" s="27">
        <v>86</v>
      </c>
      <c r="AN229" s="27">
        <v>186</v>
      </c>
      <c r="AO229" s="27">
        <v>160</v>
      </c>
      <c r="AP229" s="27">
        <v>179</v>
      </c>
      <c r="AQ229" s="29">
        <v>2.946748118315877</v>
      </c>
      <c r="AR229" s="27">
        <v>10</v>
      </c>
      <c r="AS229" s="29">
        <f>AU203</f>
        <v>9</v>
      </c>
      <c r="AT229" s="29">
        <f>AU222</f>
        <v>4.625</v>
      </c>
      <c r="AU229" s="29">
        <f t="shared" si="6"/>
        <v>6.8125</v>
      </c>
      <c r="AV229" s="29">
        <f>AQ203</f>
        <v>1.2147457580841181</v>
      </c>
      <c r="AW229" s="29">
        <f>AQ222</f>
        <v>2.2397266595504379</v>
      </c>
      <c r="AY229" s="27">
        <v>118</v>
      </c>
      <c r="AZ229" s="27">
        <v>1</v>
      </c>
      <c r="BA229" s="29">
        <f>$AQ$242-AV161</f>
        <v>22.334220944888109</v>
      </c>
      <c r="BB229" s="29">
        <f>AS161</f>
        <v>5.5</v>
      </c>
    </row>
    <row r="230" spans="39:54" x14ac:dyDescent="0.25">
      <c r="AM230" s="27">
        <v>87</v>
      </c>
      <c r="AN230" s="27">
        <v>187</v>
      </c>
      <c r="AO230" s="27">
        <v>174</v>
      </c>
      <c r="AP230" s="27">
        <v>178</v>
      </c>
      <c r="AQ230" s="29">
        <v>3.174668518797497</v>
      </c>
      <c r="AR230" s="27">
        <v>18</v>
      </c>
      <c r="AS230" s="29">
        <f>AU217</f>
        <v>67.46875</v>
      </c>
      <c r="AT230" s="29">
        <f>AU221</f>
        <v>58.8125</v>
      </c>
      <c r="AU230" s="29">
        <f t="shared" si="6"/>
        <v>63.140625</v>
      </c>
      <c r="AV230" s="29">
        <f>AQ217</f>
        <v>1.9099578964405419</v>
      </c>
      <c r="AW230" s="29">
        <f>AQ221</f>
        <v>2.1821107965647002</v>
      </c>
      <c r="AY230" s="27">
        <v>118</v>
      </c>
      <c r="AZ230" s="27">
        <v>2</v>
      </c>
      <c r="BA230" s="29">
        <f>$AQ$242-AQ161</f>
        <v>22.334220944888109</v>
      </c>
      <c r="BB230" s="29">
        <f>AS161</f>
        <v>5.5</v>
      </c>
    </row>
    <row r="231" spans="39:54" x14ac:dyDescent="0.25">
      <c r="AM231" s="27">
        <v>88</v>
      </c>
      <c r="AN231" s="27">
        <v>188</v>
      </c>
      <c r="AO231" s="27">
        <v>170</v>
      </c>
      <c r="AP231" s="27">
        <v>175</v>
      </c>
      <c r="AQ231" s="29">
        <v>3.3887890888413881</v>
      </c>
      <c r="AR231" s="27">
        <v>7</v>
      </c>
      <c r="AS231" s="29">
        <f>AU213</f>
        <v>83</v>
      </c>
      <c r="AT231" s="29">
        <f>AU218</f>
        <v>79.75</v>
      </c>
      <c r="AU231" s="29">
        <f t="shared" si="6"/>
        <v>81.375</v>
      </c>
      <c r="AV231" s="29">
        <f>AQ213</f>
        <v>1.618982009183894</v>
      </c>
      <c r="AW231" s="29">
        <f>AQ218</f>
        <v>2.049379379123911</v>
      </c>
      <c r="AY231" s="27">
        <v>118</v>
      </c>
      <c r="AZ231" s="27">
        <v>3</v>
      </c>
      <c r="BA231" s="29">
        <f>$AQ$242-AQ161</f>
        <v>22.334220944888109</v>
      </c>
      <c r="BB231" s="29">
        <f>AT161</f>
        <v>4.5</v>
      </c>
    </row>
    <row r="232" spans="39:54" x14ac:dyDescent="0.25">
      <c r="AM232" s="27">
        <v>89</v>
      </c>
      <c r="AN232" s="27">
        <v>189</v>
      </c>
      <c r="AO232" s="27">
        <v>151</v>
      </c>
      <c r="AP232" s="27">
        <v>183</v>
      </c>
      <c r="AQ232" s="29">
        <v>3.931489992759599</v>
      </c>
      <c r="AR232" s="27">
        <v>9</v>
      </c>
      <c r="AS232" s="29">
        <f>AU194</f>
        <v>47</v>
      </c>
      <c r="AT232" s="29">
        <f>AU226</f>
        <v>43.1875</v>
      </c>
      <c r="AU232" s="29">
        <f t="shared" si="6"/>
        <v>45.09375</v>
      </c>
      <c r="AV232" s="29">
        <f>AQ194</f>
        <v>0.8756368478943759</v>
      </c>
      <c r="AW232" s="29">
        <f>AQ226</f>
        <v>2.780917378989809</v>
      </c>
      <c r="AY232" s="27">
        <v>118</v>
      </c>
      <c r="AZ232" s="27">
        <v>4</v>
      </c>
      <c r="BA232" s="29">
        <f>$AQ$242-AW161</f>
        <v>22.334220944888109</v>
      </c>
      <c r="BB232" s="29">
        <f>AT161</f>
        <v>4.5</v>
      </c>
    </row>
    <row r="233" spans="39:54" x14ac:dyDescent="0.25">
      <c r="AM233" s="27">
        <v>90</v>
      </c>
      <c r="AN233" s="27">
        <v>190</v>
      </c>
      <c r="AO233" s="27">
        <v>177</v>
      </c>
      <c r="AP233" s="27">
        <v>182</v>
      </c>
      <c r="AQ233" s="29">
        <v>4.2673695539412071</v>
      </c>
      <c r="AR233" s="27">
        <v>21</v>
      </c>
      <c r="AS233" s="29">
        <f>AU220</f>
        <v>35.8125</v>
      </c>
      <c r="AT233" s="29">
        <f>AU225</f>
        <v>25.71875</v>
      </c>
      <c r="AU233" s="29">
        <f t="shared" si="6"/>
        <v>30.765625</v>
      </c>
      <c r="AV233" s="29">
        <f>AQ220</f>
        <v>2.0592823292454709</v>
      </c>
      <c r="AW233" s="29">
        <f>AQ225</f>
        <v>2.6588923176304511</v>
      </c>
      <c r="AZ233" s="28" t="s">
        <v>159</v>
      </c>
    </row>
    <row r="234" spans="39:54" x14ac:dyDescent="0.25">
      <c r="AM234" s="27">
        <v>91</v>
      </c>
      <c r="AN234" s="27">
        <v>191</v>
      </c>
      <c r="AO234" s="27">
        <v>184</v>
      </c>
      <c r="AP234" s="27">
        <v>186</v>
      </c>
      <c r="AQ234" s="29">
        <v>4.5775132011588067</v>
      </c>
      <c r="AR234" s="27">
        <v>18</v>
      </c>
      <c r="AS234" s="29">
        <f>AU227</f>
        <v>14</v>
      </c>
      <c r="AT234" s="29">
        <f>AU229</f>
        <v>6.8125</v>
      </c>
      <c r="AU234" s="29">
        <f t="shared" si="6"/>
        <v>10.40625</v>
      </c>
      <c r="AV234" s="29">
        <f>AQ227</f>
        <v>2.8248378092729021</v>
      </c>
      <c r="AW234" s="29">
        <f>AQ229</f>
        <v>2.946748118315877</v>
      </c>
      <c r="AY234" s="27">
        <v>119</v>
      </c>
      <c r="AZ234" s="27">
        <v>1</v>
      </c>
      <c r="BA234" s="29">
        <f>$AQ$242-AV162</f>
        <v>22.334220944888109</v>
      </c>
      <c r="BB234" s="29">
        <f>AS162</f>
        <v>16.5</v>
      </c>
    </row>
    <row r="235" spans="39:54" x14ac:dyDescent="0.25">
      <c r="AM235" s="27">
        <v>92</v>
      </c>
      <c r="AN235" s="27">
        <v>192</v>
      </c>
      <c r="AO235" s="27">
        <v>185</v>
      </c>
      <c r="AP235" s="27">
        <v>189</v>
      </c>
      <c r="AQ235" s="29">
        <v>4.8406853567215506</v>
      </c>
      <c r="AR235" s="27">
        <v>15</v>
      </c>
      <c r="AS235" s="29">
        <f>AU228</f>
        <v>51.25</v>
      </c>
      <c r="AT235" s="29">
        <f>AU232</f>
        <v>45.09375</v>
      </c>
      <c r="AU235" s="29">
        <f t="shared" si="6"/>
        <v>48.171875</v>
      </c>
      <c r="AV235" s="29">
        <f>AQ228</f>
        <v>2.9404374099116519</v>
      </c>
      <c r="AW235" s="29">
        <f>AQ232</f>
        <v>3.931489992759599</v>
      </c>
      <c r="AY235" s="27">
        <v>119</v>
      </c>
      <c r="AZ235" s="27">
        <v>2</v>
      </c>
      <c r="BA235" s="29">
        <f>$AQ$242-AQ162</f>
        <v>22.334220944888109</v>
      </c>
      <c r="BB235" s="29">
        <f>AS162</f>
        <v>16.5</v>
      </c>
    </row>
    <row r="236" spans="39:54" x14ac:dyDescent="0.25">
      <c r="AM236" s="27">
        <v>93</v>
      </c>
      <c r="AN236" s="27">
        <v>193</v>
      </c>
      <c r="AO236" s="27">
        <v>164</v>
      </c>
      <c r="AP236" s="27">
        <v>187</v>
      </c>
      <c r="AQ236" s="29">
        <v>4.8887074274661231</v>
      </c>
      <c r="AR236" s="27">
        <v>24</v>
      </c>
      <c r="AS236" s="29">
        <f>AU207</f>
        <v>75.8125</v>
      </c>
      <c r="AT236" s="29">
        <f>AU230</f>
        <v>63.140625</v>
      </c>
      <c r="AU236" s="29">
        <f t="shared" si="6"/>
        <v>69.4765625</v>
      </c>
      <c r="AV236" s="29">
        <f>AQ207</f>
        <v>1.391366662853075</v>
      </c>
      <c r="AW236" s="29">
        <f>AQ230</f>
        <v>3.174668518797497</v>
      </c>
      <c r="AY236" s="27">
        <v>119</v>
      </c>
      <c r="AZ236" s="27">
        <v>3</v>
      </c>
      <c r="BA236" s="29">
        <f>$AQ$242-AQ162</f>
        <v>22.334220944888109</v>
      </c>
      <c r="BB236" s="29">
        <f>AT162</f>
        <v>15.5</v>
      </c>
    </row>
    <row r="237" spans="39:54" x14ac:dyDescent="0.25">
      <c r="AM237" s="27">
        <v>94</v>
      </c>
      <c r="AN237" s="27">
        <v>194</v>
      </c>
      <c r="AO237" s="27">
        <v>145</v>
      </c>
      <c r="AP237" s="27">
        <v>176</v>
      </c>
      <c r="AQ237" s="29">
        <v>4.9859727604192177</v>
      </c>
      <c r="AR237" s="27">
        <v>15</v>
      </c>
      <c r="AS237" s="29">
        <f>AU188</f>
        <v>98.5625</v>
      </c>
      <c r="AT237" s="29">
        <f>AU219</f>
        <v>90.46875</v>
      </c>
      <c r="AU237" s="29">
        <f t="shared" si="6"/>
        <v>94.515625</v>
      </c>
      <c r="AV237" s="29">
        <f>AQ188</f>
        <v>0.7441662774678055</v>
      </c>
      <c r="AW237" s="29">
        <f>AQ219</f>
        <v>2.0517835537250679</v>
      </c>
      <c r="AY237" s="27">
        <v>119</v>
      </c>
      <c r="AZ237" s="27">
        <v>4</v>
      </c>
      <c r="BA237" s="29">
        <f>$AQ$242-AW162</f>
        <v>22.334220944888109</v>
      </c>
      <c r="BB237" s="29">
        <f>AT162</f>
        <v>15.5</v>
      </c>
    </row>
    <row r="238" spans="39:54" x14ac:dyDescent="0.25">
      <c r="AM238" s="27">
        <v>95</v>
      </c>
      <c r="AN238" s="27">
        <v>195</v>
      </c>
      <c r="AO238" s="27">
        <v>188</v>
      </c>
      <c r="AP238" s="27">
        <v>193</v>
      </c>
      <c r="AQ238" s="29">
        <v>6.7875676488278147</v>
      </c>
      <c r="AR238" s="27">
        <v>31</v>
      </c>
      <c r="AS238" s="29">
        <f>AU231</f>
        <v>81.375</v>
      </c>
      <c r="AT238" s="29">
        <f>AU236</f>
        <v>69.4765625</v>
      </c>
      <c r="AU238" s="29">
        <f t="shared" si="6"/>
        <v>75.42578125</v>
      </c>
      <c r="AV238" s="29">
        <f>AQ231</f>
        <v>3.3887890888413881</v>
      </c>
      <c r="AW238" s="29">
        <f>AQ236</f>
        <v>4.8887074274661231</v>
      </c>
      <c r="AZ238" s="28" t="s">
        <v>159</v>
      </c>
    </row>
    <row r="239" spans="39:54" x14ac:dyDescent="0.25">
      <c r="AM239" s="27">
        <v>96</v>
      </c>
      <c r="AN239" s="27">
        <v>196</v>
      </c>
      <c r="AO239" s="27">
        <v>194</v>
      </c>
      <c r="AP239" s="27">
        <v>195</v>
      </c>
      <c r="AQ239" s="29">
        <v>9.6713480006455939</v>
      </c>
      <c r="AR239" s="27">
        <v>46</v>
      </c>
      <c r="AS239" s="29">
        <f>AU237</f>
        <v>94.515625</v>
      </c>
      <c r="AT239" s="29">
        <f>AU238</f>
        <v>75.42578125</v>
      </c>
      <c r="AU239" s="29">
        <f t="shared" si="6"/>
        <v>84.970703125</v>
      </c>
      <c r="AV239" s="29">
        <f>AQ237</f>
        <v>4.9859727604192177</v>
      </c>
      <c r="AW239" s="29">
        <f>AQ238</f>
        <v>6.7875676488278147</v>
      </c>
      <c r="AY239" s="27">
        <v>120</v>
      </c>
      <c r="AZ239" s="27">
        <v>1</v>
      </c>
      <c r="BA239" s="29">
        <f>$AQ$242-AV163</f>
        <v>22.334220944888109</v>
      </c>
      <c r="BB239" s="29">
        <f>AS163</f>
        <v>1.5</v>
      </c>
    </row>
    <row r="240" spans="39:54" x14ac:dyDescent="0.25">
      <c r="AM240" s="27">
        <v>97</v>
      </c>
      <c r="AN240" s="27">
        <v>197</v>
      </c>
      <c r="AO240" s="27">
        <v>190</v>
      </c>
      <c r="AP240" s="27">
        <v>191</v>
      </c>
      <c r="AQ240" s="29">
        <v>10.52167064836306</v>
      </c>
      <c r="AR240" s="27">
        <v>39</v>
      </c>
      <c r="AS240" s="29">
        <f>AU233</f>
        <v>30.765625</v>
      </c>
      <c r="AT240" s="29">
        <f>AU234</f>
        <v>10.40625</v>
      </c>
      <c r="AU240" s="29">
        <f t="shared" ref="AU240:AU271" si="7">AVERAGE(AS240:AT240)</f>
        <v>20.5859375</v>
      </c>
      <c r="AV240" s="29">
        <f>AQ233</f>
        <v>4.2673695539412071</v>
      </c>
      <c r="AW240" s="29">
        <f>AQ234</f>
        <v>4.5775132011588067</v>
      </c>
      <c r="AY240" s="27">
        <v>120</v>
      </c>
      <c r="AZ240" s="27">
        <v>2</v>
      </c>
      <c r="BA240" s="29">
        <f>$AQ$242-AQ163</f>
        <v>22.334220944888109</v>
      </c>
      <c r="BB240" s="29">
        <f>AS163</f>
        <v>1.5</v>
      </c>
    </row>
    <row r="241" spans="39:54" x14ac:dyDescent="0.25">
      <c r="AM241" s="27">
        <v>98</v>
      </c>
      <c r="AN241" s="27">
        <v>198</v>
      </c>
      <c r="AO241" s="27">
        <v>192</v>
      </c>
      <c r="AP241" s="27">
        <v>197</v>
      </c>
      <c r="AQ241" s="29">
        <v>13.142710703921409</v>
      </c>
      <c r="AR241" s="27">
        <v>54</v>
      </c>
      <c r="AS241" s="29">
        <f>AU235</f>
        <v>48.171875</v>
      </c>
      <c r="AT241" s="29">
        <f>AU240</f>
        <v>20.5859375</v>
      </c>
      <c r="AU241" s="29">
        <f t="shared" si="7"/>
        <v>34.37890625</v>
      </c>
      <c r="AV241" s="29">
        <f>AQ235</f>
        <v>4.8406853567215506</v>
      </c>
      <c r="AW241" s="29">
        <f>AQ240</f>
        <v>10.52167064836306</v>
      </c>
      <c r="AY241" s="27">
        <v>120</v>
      </c>
      <c r="AZ241" s="27">
        <v>3</v>
      </c>
      <c r="BA241" s="29">
        <f>$AQ$242-AQ163</f>
        <v>22.334220944888109</v>
      </c>
      <c r="BB241" s="29">
        <f>AT163</f>
        <v>0.5</v>
      </c>
    </row>
    <row r="242" spans="39:54" x14ac:dyDescent="0.25">
      <c r="AM242" s="27">
        <v>99</v>
      </c>
      <c r="AN242" s="27">
        <v>199</v>
      </c>
      <c r="AO242" s="27">
        <v>196</v>
      </c>
      <c r="AP242" s="27">
        <v>198</v>
      </c>
      <c r="AQ242" s="29">
        <v>22.334220944888109</v>
      </c>
      <c r="AR242" s="27">
        <v>100</v>
      </c>
      <c r="AS242" s="29">
        <f>AU239</f>
        <v>84.970703125</v>
      </c>
      <c r="AT242" s="29">
        <f>AU241</f>
        <v>34.37890625</v>
      </c>
      <c r="AU242" s="29">
        <f t="shared" si="7"/>
        <v>59.6748046875</v>
      </c>
      <c r="AV242" s="29">
        <f>AQ239</f>
        <v>9.6713480006455939</v>
      </c>
      <c r="AW242" s="29">
        <f>AQ241</f>
        <v>13.142710703921409</v>
      </c>
      <c r="AY242" s="27">
        <v>120</v>
      </c>
      <c r="AZ242" s="27">
        <v>4</v>
      </c>
      <c r="BA242" s="29">
        <f>$AQ$242-AW163</f>
        <v>22.334220944888109</v>
      </c>
      <c r="BB242" s="29">
        <f>AT163</f>
        <v>0.5</v>
      </c>
    </row>
    <row r="243" spans="39:54" x14ac:dyDescent="0.25">
      <c r="AZ243" s="28" t="s">
        <v>159</v>
      </c>
    </row>
    <row r="244" spans="39:54" x14ac:dyDescent="0.25">
      <c r="AY244" s="27">
        <v>121</v>
      </c>
      <c r="AZ244" s="27">
        <v>1</v>
      </c>
      <c r="BA244" s="29">
        <f>$AQ$242-AV164</f>
        <v>22.334220944888109</v>
      </c>
      <c r="BB244" s="29">
        <f>AS164</f>
        <v>73.5</v>
      </c>
    </row>
    <row r="245" spans="39:54" x14ac:dyDescent="0.25">
      <c r="AY245" s="27">
        <v>121</v>
      </c>
      <c r="AZ245" s="27">
        <v>2</v>
      </c>
      <c r="BA245" s="29">
        <f>$AQ$242-AQ164</f>
        <v>22.031292137180433</v>
      </c>
      <c r="BB245" s="29">
        <f>AS164</f>
        <v>73.5</v>
      </c>
    </row>
    <row r="246" spans="39:54" x14ac:dyDescent="0.25">
      <c r="AY246" s="27">
        <v>121</v>
      </c>
      <c r="AZ246" s="27">
        <v>3</v>
      </c>
      <c r="BA246" s="29">
        <f>$AQ$242-AQ164</f>
        <v>22.031292137180433</v>
      </c>
      <c r="BB246" s="29">
        <f>AT164</f>
        <v>72.5</v>
      </c>
    </row>
    <row r="247" spans="39:54" x14ac:dyDescent="0.25">
      <c r="AY247" s="27">
        <v>121</v>
      </c>
      <c r="AZ247" s="27">
        <v>4</v>
      </c>
      <c r="BA247" s="29">
        <f>$AQ$242-AW164</f>
        <v>22.334220944888109</v>
      </c>
      <c r="BB247" s="29">
        <f>AT164</f>
        <v>72.5</v>
      </c>
    </row>
    <row r="248" spans="39:54" x14ac:dyDescent="0.25">
      <c r="AM248" s="37" t="s">
        <v>155</v>
      </c>
      <c r="AN248" s="37"/>
      <c r="AO248" s="37"/>
      <c r="AP248" s="37"/>
      <c r="AQ248" s="37"/>
      <c r="AR248" s="37"/>
      <c r="AS248" s="37"/>
      <c r="AT248" s="37"/>
      <c r="AU248" s="37"/>
      <c r="AV248" s="37"/>
      <c r="AW248" s="37"/>
      <c r="AZ248" s="28" t="s">
        <v>159</v>
      </c>
    </row>
    <row r="249" spans="39:54" ht="28.5" customHeight="1" x14ac:dyDescent="0.25">
      <c r="AM249" s="26" t="s">
        <v>144</v>
      </c>
      <c r="AN249" s="26" t="s">
        <v>145</v>
      </c>
      <c r="AO249" s="26" t="s">
        <v>146</v>
      </c>
      <c r="AP249" s="26" t="s">
        <v>147</v>
      </c>
      <c r="AQ249" s="26" t="s">
        <v>148</v>
      </c>
      <c r="AR249" s="26" t="s">
        <v>149</v>
      </c>
      <c r="AS249" s="26" t="s">
        <v>150</v>
      </c>
      <c r="AT249" s="26" t="s">
        <v>151</v>
      </c>
      <c r="AU249" s="26" t="s">
        <v>152</v>
      </c>
      <c r="AV249" s="26" t="s">
        <v>153</v>
      </c>
      <c r="AW249" s="26" t="s">
        <v>154</v>
      </c>
      <c r="AY249" s="27">
        <v>122</v>
      </c>
      <c r="AZ249" s="27">
        <v>1</v>
      </c>
      <c r="BA249" s="29">
        <f>$AQ$242-AV165</f>
        <v>22.334220944888109</v>
      </c>
      <c r="BB249" s="29">
        <f>AS165</f>
        <v>55.5</v>
      </c>
    </row>
    <row r="250" spans="39:54" x14ac:dyDescent="0.25">
      <c r="AM250" s="27">
        <v>1</v>
      </c>
      <c r="AN250" s="27">
        <v>7</v>
      </c>
      <c r="AO250" s="27">
        <v>2</v>
      </c>
      <c r="AP250" s="27">
        <v>3</v>
      </c>
      <c r="AQ250" s="29">
        <v>4.6163944994489459</v>
      </c>
      <c r="AR250" s="27">
        <v>2</v>
      </c>
      <c r="AS250" s="29">
        <f>INDEX($AC$123:$AC$128,MATCH(AO250,$Z$123:$Z$128,0))</f>
        <v>1.5</v>
      </c>
      <c r="AT250" s="29">
        <f>INDEX($AC$123:$AC$128,MATCH(AP250,$Z$123:$Z$128,0))</f>
        <v>2.5</v>
      </c>
      <c r="AU250" s="29">
        <f>AVERAGE(AS250:AT250)</f>
        <v>2</v>
      </c>
      <c r="AV250" s="29">
        <f>0</f>
        <v>0</v>
      </c>
      <c r="AW250" s="29">
        <f>0</f>
        <v>0</v>
      </c>
      <c r="AY250" s="27">
        <v>122</v>
      </c>
      <c r="AZ250" s="27">
        <v>2</v>
      </c>
      <c r="BA250" s="29">
        <f>$AQ$242-AQ165</f>
        <v>21.86356886595069</v>
      </c>
      <c r="BB250" s="29">
        <f>AS165</f>
        <v>55.5</v>
      </c>
    </row>
    <row r="251" spans="39:54" x14ac:dyDescent="0.25">
      <c r="AM251" s="27">
        <v>2</v>
      </c>
      <c r="AN251" s="27">
        <v>8</v>
      </c>
      <c r="AO251" s="27">
        <v>5</v>
      </c>
      <c r="AP251" s="27">
        <v>6</v>
      </c>
      <c r="AQ251" s="29">
        <v>7.6404944914629827</v>
      </c>
      <c r="AR251" s="27">
        <v>2</v>
      </c>
      <c r="AS251" s="29">
        <f>INDEX($AC$123:$AC$128,MATCH(AO251,$Z$123:$Z$128,0))</f>
        <v>4.5</v>
      </c>
      <c r="AT251" s="29">
        <f>INDEX($AC$123:$AC$128,MATCH(AP251,$Z$123:$Z$128,0))</f>
        <v>5.5</v>
      </c>
      <c r="AU251" s="29">
        <f>AVERAGE(AS251:AT251)</f>
        <v>5</v>
      </c>
      <c r="AV251" s="29">
        <f>0</f>
        <v>0</v>
      </c>
      <c r="AW251" s="29">
        <f>0</f>
        <v>0</v>
      </c>
      <c r="AY251" s="27">
        <v>122</v>
      </c>
      <c r="AZ251" s="27">
        <v>3</v>
      </c>
      <c r="BA251" s="29">
        <f>$AQ$242-AQ165</f>
        <v>21.86356886595069</v>
      </c>
      <c r="BB251" s="29">
        <f>AT165</f>
        <v>54.5</v>
      </c>
    </row>
    <row r="252" spans="39:54" x14ac:dyDescent="0.25">
      <c r="AM252" s="27">
        <v>3</v>
      </c>
      <c r="AN252" s="27">
        <v>9</v>
      </c>
      <c r="AO252" s="27">
        <v>1</v>
      </c>
      <c r="AP252" s="27">
        <v>7</v>
      </c>
      <c r="AQ252" s="29">
        <v>8.1643668915705181</v>
      </c>
      <c r="AR252" s="27">
        <v>3</v>
      </c>
      <c r="AS252" s="29">
        <f>INDEX($AC$123:$AC$128,MATCH(AO252,$Z$123:$Z$128,0))</f>
        <v>0.5</v>
      </c>
      <c r="AT252" s="29">
        <f>AU250</f>
        <v>2</v>
      </c>
      <c r="AU252" s="29">
        <f>AVERAGE(AS252:AT252)</f>
        <v>1.25</v>
      </c>
      <c r="AV252" s="29">
        <f>0</f>
        <v>0</v>
      </c>
      <c r="AW252" s="29">
        <f>AQ250</f>
        <v>4.6163944994489459</v>
      </c>
      <c r="AY252" s="27">
        <v>122</v>
      </c>
      <c r="AZ252" s="27">
        <v>4</v>
      </c>
      <c r="BA252" s="29">
        <f>$AQ$242-AW165</f>
        <v>22.334220944888109</v>
      </c>
      <c r="BB252" s="29">
        <f>AT165</f>
        <v>54.5</v>
      </c>
    </row>
    <row r="253" spans="39:54" x14ac:dyDescent="0.25">
      <c r="AM253" s="27">
        <v>4</v>
      </c>
      <c r="AN253" s="27">
        <v>10</v>
      </c>
      <c r="AO253" s="27">
        <v>4</v>
      </c>
      <c r="AP253" s="27">
        <v>8</v>
      </c>
      <c r="AQ253" s="29">
        <v>12.398770696858829</v>
      </c>
      <c r="AR253" s="27">
        <v>3</v>
      </c>
      <c r="AS253" s="29">
        <f>INDEX($AC$123:$AC$128,MATCH(AO253,$Z$123:$Z$128,0))</f>
        <v>3.5</v>
      </c>
      <c r="AT253" s="29">
        <f>AU251</f>
        <v>5</v>
      </c>
      <c r="AU253" s="29">
        <f>AVERAGE(AS253:AT253)</f>
        <v>4.25</v>
      </c>
      <c r="AV253" s="29">
        <f>0</f>
        <v>0</v>
      </c>
      <c r="AW253" s="29">
        <f>AQ251</f>
        <v>7.6404944914629827</v>
      </c>
      <c r="AZ253" s="28" t="s">
        <v>159</v>
      </c>
    </row>
    <row r="254" spans="39:54" x14ac:dyDescent="0.25">
      <c r="AM254" s="27">
        <v>5</v>
      </c>
      <c r="AN254" s="27">
        <v>11</v>
      </c>
      <c r="AO254" s="27">
        <v>9</v>
      </c>
      <c r="AP254" s="27">
        <v>10</v>
      </c>
      <c r="AQ254" s="29">
        <v>25.94813979293534</v>
      </c>
      <c r="AR254" s="27">
        <v>6</v>
      </c>
      <c r="AS254" s="29">
        <f>AU252</f>
        <v>1.25</v>
      </c>
      <c r="AT254" s="29">
        <f>AU253</f>
        <v>4.25</v>
      </c>
      <c r="AU254" s="29">
        <f>AVERAGE(AS254:AT254)</f>
        <v>2.75</v>
      </c>
      <c r="AV254" s="29">
        <f>AQ252</f>
        <v>8.1643668915705181</v>
      </c>
      <c r="AW254" s="29">
        <f>AQ253</f>
        <v>12.398770696858829</v>
      </c>
      <c r="AY254" s="27">
        <v>123</v>
      </c>
      <c r="AZ254" s="27">
        <v>1</v>
      </c>
      <c r="BA254" s="29">
        <f>$AQ$242-AV166</f>
        <v>22.334220944888109</v>
      </c>
      <c r="BB254" s="29">
        <f>AS166</f>
        <v>77.5</v>
      </c>
    </row>
    <row r="255" spans="39:54" x14ac:dyDescent="0.25">
      <c r="AY255" s="27">
        <v>123</v>
      </c>
      <c r="AZ255" s="27">
        <v>2</v>
      </c>
      <c r="BA255" s="29">
        <f>$AQ$242-AQ166</f>
        <v>21.86356886595069</v>
      </c>
      <c r="BB255" s="29">
        <f>AS166</f>
        <v>77.5</v>
      </c>
    </row>
    <row r="256" spans="39:54" x14ac:dyDescent="0.25">
      <c r="AY256" s="27">
        <v>123</v>
      </c>
      <c r="AZ256" s="27">
        <v>3</v>
      </c>
      <c r="BA256" s="29">
        <f>$AQ$242-AQ166</f>
        <v>21.86356886595069</v>
      </c>
      <c r="BB256" s="29">
        <f>AT166</f>
        <v>76.5</v>
      </c>
    </row>
    <row r="257" spans="51:54" x14ac:dyDescent="0.25">
      <c r="AY257" s="27">
        <v>123</v>
      </c>
      <c r="AZ257" s="27">
        <v>4</v>
      </c>
      <c r="BA257" s="29">
        <f>$AQ$242-AW166</f>
        <v>22.334220944888109</v>
      </c>
      <c r="BB257" s="29">
        <f>AT166</f>
        <v>76.5</v>
      </c>
    </row>
    <row r="258" spans="51:54" x14ac:dyDescent="0.25">
      <c r="AZ258" s="28" t="s">
        <v>159</v>
      </c>
    </row>
    <row r="259" spans="51:54" x14ac:dyDescent="0.25">
      <c r="AY259" s="27">
        <v>124</v>
      </c>
      <c r="AZ259" s="27">
        <v>1</v>
      </c>
      <c r="BA259" s="29">
        <f>$AQ$242-AV167</f>
        <v>22.334220944888109</v>
      </c>
      <c r="BB259" s="29">
        <f>AS167</f>
        <v>24.5</v>
      </c>
    </row>
    <row r="260" spans="51:54" ht="28.5" customHeight="1" x14ac:dyDescent="0.25">
      <c r="AY260" s="27">
        <v>124</v>
      </c>
      <c r="AZ260" s="27">
        <v>2</v>
      </c>
      <c r="BA260" s="29">
        <f>$AQ$242-AQ167</f>
        <v>21.86356886595069</v>
      </c>
      <c r="BB260" s="29">
        <f>AS167</f>
        <v>24.5</v>
      </c>
    </row>
    <row r="261" spans="51:54" x14ac:dyDescent="0.25">
      <c r="AY261" s="27">
        <v>124</v>
      </c>
      <c r="AZ261" s="27">
        <v>3</v>
      </c>
      <c r="BA261" s="29">
        <f>$AQ$242-AQ167</f>
        <v>21.86356886595069</v>
      </c>
      <c r="BB261" s="29">
        <f>AT167</f>
        <v>23.5</v>
      </c>
    </row>
    <row r="262" spans="51:54" x14ac:dyDescent="0.25">
      <c r="AY262" s="27">
        <v>124</v>
      </c>
      <c r="AZ262" s="27">
        <v>4</v>
      </c>
      <c r="BA262" s="29">
        <f>$AQ$242-AW167</f>
        <v>22.334220944888109</v>
      </c>
      <c r="BB262" s="29">
        <f>AT167</f>
        <v>23.5</v>
      </c>
    </row>
    <row r="263" spans="51:54" x14ac:dyDescent="0.25">
      <c r="AZ263" s="28" t="s">
        <v>159</v>
      </c>
    </row>
    <row r="264" spans="51:54" x14ac:dyDescent="0.25">
      <c r="AY264" s="27">
        <v>125</v>
      </c>
      <c r="AZ264" s="27">
        <v>1</v>
      </c>
      <c r="BA264" s="29">
        <f>$AQ$242-AV168</f>
        <v>22.334220944888109</v>
      </c>
      <c r="BB264" s="29">
        <f>AS168</f>
        <v>32.5</v>
      </c>
    </row>
    <row r="265" spans="51:54" x14ac:dyDescent="0.25">
      <c r="AY265" s="27">
        <v>125</v>
      </c>
      <c r="AZ265" s="27">
        <v>2</v>
      </c>
      <c r="BA265" s="29">
        <f>$AQ$242-AQ168</f>
        <v>21.86356886595069</v>
      </c>
      <c r="BB265" s="29">
        <f>AS168</f>
        <v>32.5</v>
      </c>
    </row>
    <row r="266" spans="51:54" x14ac:dyDescent="0.25">
      <c r="AY266" s="27">
        <v>125</v>
      </c>
      <c r="AZ266" s="27">
        <v>3</v>
      </c>
      <c r="BA266" s="29">
        <f>$AQ$242-AQ168</f>
        <v>21.86356886595069</v>
      </c>
      <c r="BB266" s="29">
        <f>AT168</f>
        <v>31.5</v>
      </c>
    </row>
    <row r="267" spans="51:54" x14ac:dyDescent="0.25">
      <c r="AY267" s="27">
        <v>125</v>
      </c>
      <c r="AZ267" s="27">
        <v>4</v>
      </c>
      <c r="BA267" s="29">
        <f>$AQ$242-AW168</f>
        <v>22.334220944888109</v>
      </c>
      <c r="BB267" s="29">
        <f>AT168</f>
        <v>31.5</v>
      </c>
    </row>
    <row r="268" spans="51:54" x14ac:dyDescent="0.25">
      <c r="AZ268" s="28" t="s">
        <v>159</v>
      </c>
    </row>
    <row r="269" spans="51:54" x14ac:dyDescent="0.25">
      <c r="AY269" s="27">
        <v>126</v>
      </c>
      <c r="AZ269" s="27">
        <v>1</v>
      </c>
      <c r="BA269" s="29">
        <f>$AQ$242-AV169</f>
        <v>22.334220944888109</v>
      </c>
      <c r="BB269" s="29">
        <f>AS169</f>
        <v>21.5</v>
      </c>
    </row>
    <row r="270" spans="51:54" x14ac:dyDescent="0.25">
      <c r="AY270" s="27">
        <v>126</v>
      </c>
      <c r="AZ270" s="27">
        <v>2</v>
      </c>
      <c r="BA270" s="29">
        <f>$AQ$242-AQ169</f>
        <v>21.834676619210533</v>
      </c>
      <c r="BB270" s="29">
        <f>AS169</f>
        <v>21.5</v>
      </c>
    </row>
    <row r="271" spans="51:54" x14ac:dyDescent="0.25">
      <c r="AY271" s="27">
        <v>126</v>
      </c>
      <c r="AZ271" s="27">
        <v>3</v>
      </c>
      <c r="BA271" s="29">
        <f>$AQ$242-AQ169</f>
        <v>21.834676619210533</v>
      </c>
      <c r="BB271" s="29">
        <f>AT169</f>
        <v>20.5</v>
      </c>
    </row>
    <row r="272" spans="51:54" x14ac:dyDescent="0.25">
      <c r="AY272" s="27">
        <v>126</v>
      </c>
      <c r="AZ272" s="27">
        <v>4</v>
      </c>
      <c r="BA272" s="29">
        <f>$AQ$242-AW169</f>
        <v>22.334220944888109</v>
      </c>
      <c r="BB272" s="29">
        <f>AT169</f>
        <v>20.5</v>
      </c>
    </row>
    <row r="273" spans="51:54" x14ac:dyDescent="0.25">
      <c r="AZ273" s="28" t="s">
        <v>159</v>
      </c>
    </row>
    <row r="274" spans="51:54" x14ac:dyDescent="0.25">
      <c r="AY274" s="27">
        <v>127</v>
      </c>
      <c r="AZ274" s="27">
        <v>1</v>
      </c>
      <c r="BA274" s="29">
        <f>$AQ$242-AV170</f>
        <v>22.334220944888109</v>
      </c>
      <c r="BB274" s="29">
        <f>AS170</f>
        <v>14.5</v>
      </c>
    </row>
    <row r="275" spans="51:54" x14ac:dyDescent="0.25">
      <c r="AY275" s="27">
        <v>127</v>
      </c>
      <c r="AZ275" s="27">
        <v>2</v>
      </c>
      <c r="BA275" s="29">
        <f>$AQ$242-AQ170</f>
        <v>21.83194573628537</v>
      </c>
      <c r="BB275" s="29">
        <f>AS170</f>
        <v>14.5</v>
      </c>
    </row>
    <row r="276" spans="51:54" x14ac:dyDescent="0.25">
      <c r="AY276" s="27">
        <v>127</v>
      </c>
      <c r="AZ276" s="27">
        <v>3</v>
      </c>
      <c r="BA276" s="29">
        <f>$AQ$242-AQ170</f>
        <v>21.83194573628537</v>
      </c>
      <c r="BB276" s="29">
        <f>AT170</f>
        <v>13.5</v>
      </c>
    </row>
    <row r="277" spans="51:54" x14ac:dyDescent="0.25">
      <c r="AY277" s="27">
        <v>127</v>
      </c>
      <c r="AZ277" s="27">
        <v>4</v>
      </c>
      <c r="BA277" s="29">
        <f>$AQ$242-AW170</f>
        <v>22.334220944888109</v>
      </c>
      <c r="BB277" s="29">
        <f>AT170</f>
        <v>13.5</v>
      </c>
    </row>
    <row r="278" spans="51:54" x14ac:dyDescent="0.25">
      <c r="AZ278" s="28" t="s">
        <v>159</v>
      </c>
    </row>
    <row r="279" spans="51:54" x14ac:dyDescent="0.25">
      <c r="AY279" s="27">
        <v>128</v>
      </c>
      <c r="AZ279" s="27">
        <v>1</v>
      </c>
      <c r="BA279" s="29">
        <f>$AQ$242-AV171</f>
        <v>22.334220944888109</v>
      </c>
      <c r="BB279" s="29">
        <f>AS171</f>
        <v>35.5</v>
      </c>
    </row>
    <row r="280" spans="51:54" x14ac:dyDescent="0.25">
      <c r="AY280" s="27">
        <v>128</v>
      </c>
      <c r="AZ280" s="27">
        <v>2</v>
      </c>
      <c r="BA280" s="29">
        <f>$AQ$242-AQ171</f>
        <v>21.800757285673775</v>
      </c>
      <c r="BB280" s="29">
        <f>AS171</f>
        <v>35.5</v>
      </c>
    </row>
    <row r="281" spans="51:54" x14ac:dyDescent="0.25">
      <c r="AY281" s="27">
        <v>128</v>
      </c>
      <c r="AZ281" s="27">
        <v>3</v>
      </c>
      <c r="BA281" s="29">
        <f>$AQ$242-AQ171</f>
        <v>21.800757285673775</v>
      </c>
      <c r="BB281" s="29">
        <f>AT171</f>
        <v>34.5</v>
      </c>
    </row>
    <row r="282" spans="51:54" x14ac:dyDescent="0.25">
      <c r="AY282" s="27">
        <v>128</v>
      </c>
      <c r="AZ282" s="27">
        <v>4</v>
      </c>
      <c r="BA282" s="29">
        <f>$AQ$242-AW171</f>
        <v>22.334220944888109</v>
      </c>
      <c r="BB282" s="29">
        <f>AT171</f>
        <v>34.5</v>
      </c>
    </row>
    <row r="283" spans="51:54" x14ac:dyDescent="0.25">
      <c r="AZ283" s="28" t="s">
        <v>159</v>
      </c>
    </row>
    <row r="284" spans="51:54" x14ac:dyDescent="0.25">
      <c r="AY284" s="27">
        <v>129</v>
      </c>
      <c r="AZ284" s="27">
        <v>1</v>
      </c>
      <c r="BA284" s="29">
        <f>$AQ$242-AV172</f>
        <v>22.334220944888109</v>
      </c>
      <c r="BB284" s="29">
        <f>AS172</f>
        <v>60.5</v>
      </c>
    </row>
    <row r="285" spans="51:54" x14ac:dyDescent="0.25">
      <c r="AY285" s="27">
        <v>129</v>
      </c>
      <c r="AZ285" s="27">
        <v>2</v>
      </c>
      <c r="BA285" s="29">
        <f>$AQ$242-AQ172</f>
        <v>21.800757285673775</v>
      </c>
      <c r="BB285" s="29">
        <f>AS172</f>
        <v>60.5</v>
      </c>
    </row>
    <row r="286" spans="51:54" x14ac:dyDescent="0.25">
      <c r="AY286" s="27">
        <v>129</v>
      </c>
      <c r="AZ286" s="27">
        <v>3</v>
      </c>
      <c r="BA286" s="29">
        <f>$AQ$242-AQ172</f>
        <v>21.800757285673775</v>
      </c>
      <c r="BB286" s="29">
        <f>AT172</f>
        <v>59.5</v>
      </c>
    </row>
    <row r="287" spans="51:54" x14ac:dyDescent="0.25">
      <c r="AY287" s="27">
        <v>129</v>
      </c>
      <c r="AZ287" s="27">
        <v>4</v>
      </c>
      <c r="BA287" s="29">
        <f>$AQ$242-AW172</f>
        <v>22.334220944888109</v>
      </c>
      <c r="BB287" s="29">
        <f>AT172</f>
        <v>59.5</v>
      </c>
    </row>
    <row r="288" spans="51:54" x14ac:dyDescent="0.25">
      <c r="AZ288" s="28" t="s">
        <v>159</v>
      </c>
    </row>
    <row r="289" spans="51:54" x14ac:dyDescent="0.25">
      <c r="AY289" s="27">
        <v>130</v>
      </c>
      <c r="AZ289" s="27">
        <v>1</v>
      </c>
      <c r="BA289" s="29">
        <f>$AQ$242-AV173</f>
        <v>22.334220944888109</v>
      </c>
      <c r="BB289" s="29">
        <f>AS173</f>
        <v>11.5</v>
      </c>
    </row>
    <row r="290" spans="51:54" x14ac:dyDescent="0.25">
      <c r="AY290" s="27">
        <v>130</v>
      </c>
      <c r="AZ290" s="27">
        <v>2</v>
      </c>
      <c r="BA290" s="29">
        <f>$AQ$242-AQ173</f>
        <v>21.792975968185917</v>
      </c>
      <c r="BB290" s="29">
        <f>AS173</f>
        <v>11.5</v>
      </c>
    </row>
    <row r="291" spans="51:54" x14ac:dyDescent="0.25">
      <c r="AY291" s="27">
        <v>130</v>
      </c>
      <c r="AZ291" s="27">
        <v>3</v>
      </c>
      <c r="BA291" s="29">
        <f>$AQ$242-AQ173</f>
        <v>21.792975968185917</v>
      </c>
      <c r="BB291" s="29">
        <f>AT173</f>
        <v>10.5</v>
      </c>
    </row>
    <row r="292" spans="51:54" x14ac:dyDescent="0.25">
      <c r="AY292" s="27">
        <v>130</v>
      </c>
      <c r="AZ292" s="27">
        <v>4</v>
      </c>
      <c r="BA292" s="29">
        <f>$AQ$242-AW173</f>
        <v>22.334220944888109</v>
      </c>
      <c r="BB292" s="29">
        <f>AT173</f>
        <v>10.5</v>
      </c>
    </row>
    <row r="293" spans="51:54" x14ac:dyDescent="0.25">
      <c r="AZ293" s="28" t="s">
        <v>159</v>
      </c>
    </row>
    <row r="294" spans="51:54" x14ac:dyDescent="0.25">
      <c r="AY294" s="27">
        <v>131</v>
      </c>
      <c r="AZ294" s="27">
        <v>1</v>
      </c>
      <c r="BA294" s="29">
        <f>$AQ$242-AV174</f>
        <v>22.334220944888109</v>
      </c>
      <c r="BB294" s="29">
        <f>AS174</f>
        <v>6.5</v>
      </c>
    </row>
    <row r="295" spans="51:54" x14ac:dyDescent="0.25">
      <c r="AY295" s="27">
        <v>131</v>
      </c>
      <c r="AZ295" s="27">
        <v>2</v>
      </c>
      <c r="BA295" s="29">
        <f>$AQ$242-AQ174</f>
        <v>21.790758735949755</v>
      </c>
      <c r="BB295" s="29">
        <f>AS174</f>
        <v>6.5</v>
      </c>
    </row>
    <row r="296" spans="51:54" x14ac:dyDescent="0.25">
      <c r="AY296" s="27">
        <v>131</v>
      </c>
      <c r="AZ296" s="27">
        <v>3</v>
      </c>
      <c r="BA296" s="29">
        <f>$AQ$242-AQ174</f>
        <v>21.790758735949755</v>
      </c>
      <c r="BB296" s="29">
        <f>AT174</f>
        <v>5</v>
      </c>
    </row>
    <row r="297" spans="51:54" x14ac:dyDescent="0.25">
      <c r="AY297" s="27">
        <v>131</v>
      </c>
      <c r="AZ297" s="27">
        <v>4</v>
      </c>
      <c r="BA297" s="29">
        <f>$AQ$242-AW174</f>
        <v>22.334220944888109</v>
      </c>
      <c r="BB297" s="29">
        <f>AT174</f>
        <v>5</v>
      </c>
    </row>
    <row r="298" spans="51:54" x14ac:dyDescent="0.25">
      <c r="AZ298" s="28" t="s">
        <v>159</v>
      </c>
    </row>
    <row r="299" spans="51:54" x14ac:dyDescent="0.25">
      <c r="AY299" s="27">
        <v>132</v>
      </c>
      <c r="AZ299" s="27">
        <v>1</v>
      </c>
      <c r="BA299" s="29">
        <f>$AQ$242-AV175</f>
        <v>22.334220944888109</v>
      </c>
      <c r="BB299" s="29">
        <f>AS175</f>
        <v>2.5</v>
      </c>
    </row>
    <row r="300" spans="51:54" x14ac:dyDescent="0.25">
      <c r="AY300" s="27">
        <v>132</v>
      </c>
      <c r="AZ300" s="27">
        <v>2</v>
      </c>
      <c r="BA300" s="29">
        <f>$AQ$242-AQ175</f>
        <v>21.790758735949755</v>
      </c>
      <c r="BB300" s="29">
        <f>AS175</f>
        <v>2.5</v>
      </c>
    </row>
    <row r="301" spans="51:54" x14ac:dyDescent="0.25">
      <c r="AY301" s="27">
        <v>132</v>
      </c>
      <c r="AZ301" s="27">
        <v>3</v>
      </c>
      <c r="BA301" s="29">
        <f>$AQ$242-AQ175</f>
        <v>21.790758735949755</v>
      </c>
      <c r="BB301" s="29">
        <f>AT175</f>
        <v>1</v>
      </c>
    </row>
    <row r="302" spans="51:54" x14ac:dyDescent="0.25">
      <c r="AY302" s="27">
        <v>132</v>
      </c>
      <c r="AZ302" s="27">
        <v>4</v>
      </c>
      <c r="BA302" s="29">
        <f>$AQ$242-AW175</f>
        <v>22.334220944888109</v>
      </c>
      <c r="BB302" s="29">
        <f>AT175</f>
        <v>1</v>
      </c>
    </row>
    <row r="303" spans="51:54" x14ac:dyDescent="0.25">
      <c r="AZ303" s="28" t="s">
        <v>159</v>
      </c>
    </row>
    <row r="304" spans="51:54" x14ac:dyDescent="0.25">
      <c r="AY304" s="27">
        <v>133</v>
      </c>
      <c r="AZ304" s="27">
        <v>1</v>
      </c>
      <c r="BA304" s="29">
        <f>$AQ$242-AV176</f>
        <v>22.334220944888109</v>
      </c>
      <c r="BB304" s="29">
        <f>AS176</f>
        <v>30.5</v>
      </c>
    </row>
    <row r="305" spans="51:54" x14ac:dyDescent="0.25">
      <c r="AY305" s="27">
        <v>133</v>
      </c>
      <c r="AZ305" s="27">
        <v>2</v>
      </c>
      <c r="BA305" s="29">
        <f>$AQ$242-AQ176</f>
        <v>21.776109649394044</v>
      </c>
      <c r="BB305" s="29">
        <f>AS176</f>
        <v>30.5</v>
      </c>
    </row>
    <row r="306" spans="51:54" x14ac:dyDescent="0.25">
      <c r="AY306" s="27">
        <v>133</v>
      </c>
      <c r="AZ306" s="27">
        <v>3</v>
      </c>
      <c r="BA306" s="29">
        <f>$AQ$242-AQ176</f>
        <v>21.776109649394044</v>
      </c>
      <c r="BB306" s="29">
        <f>AT176</f>
        <v>29.5</v>
      </c>
    </row>
    <row r="307" spans="51:54" x14ac:dyDescent="0.25">
      <c r="AY307" s="27">
        <v>133</v>
      </c>
      <c r="AZ307" s="27">
        <v>4</v>
      </c>
      <c r="BA307" s="29">
        <f>$AQ$242-AW176</f>
        <v>22.334220944888109</v>
      </c>
      <c r="BB307" s="29">
        <f>AT176</f>
        <v>29.5</v>
      </c>
    </row>
    <row r="308" spans="51:54" x14ac:dyDescent="0.25">
      <c r="AZ308" s="28" t="s">
        <v>159</v>
      </c>
    </row>
    <row r="309" spans="51:54" x14ac:dyDescent="0.25">
      <c r="AY309" s="27">
        <v>134</v>
      </c>
      <c r="AZ309" s="27">
        <v>1</v>
      </c>
      <c r="BA309" s="29">
        <f>$AQ$242-AV177</f>
        <v>22.334220944888109</v>
      </c>
      <c r="BB309" s="29">
        <f>AS177</f>
        <v>98.5</v>
      </c>
    </row>
    <row r="310" spans="51:54" x14ac:dyDescent="0.25">
      <c r="AY310" s="27">
        <v>134</v>
      </c>
      <c r="AZ310" s="27">
        <v>2</v>
      </c>
      <c r="BA310" s="29">
        <f>$AQ$242-AQ177</f>
        <v>21.757792224999715</v>
      </c>
      <c r="BB310" s="29">
        <f>AS177</f>
        <v>98.5</v>
      </c>
    </row>
    <row r="311" spans="51:54" x14ac:dyDescent="0.25">
      <c r="AY311" s="27">
        <v>134</v>
      </c>
      <c r="AZ311" s="27">
        <v>3</v>
      </c>
      <c r="BA311" s="29">
        <f>$AQ$242-AQ177</f>
        <v>21.757792224999715</v>
      </c>
      <c r="BB311" s="29">
        <f>AT177</f>
        <v>96.75</v>
      </c>
    </row>
    <row r="312" spans="51:54" x14ac:dyDescent="0.25">
      <c r="AY312" s="27">
        <v>134</v>
      </c>
      <c r="AZ312" s="27">
        <v>4</v>
      </c>
      <c r="BA312" s="29">
        <f>$AQ$242-AW177</f>
        <v>22.334220944888109</v>
      </c>
      <c r="BB312" s="29">
        <f>AT177</f>
        <v>96.75</v>
      </c>
    </row>
    <row r="313" spans="51:54" x14ac:dyDescent="0.25">
      <c r="AZ313" s="28" t="s">
        <v>159</v>
      </c>
    </row>
    <row r="314" spans="51:54" x14ac:dyDescent="0.25">
      <c r="AY314" s="27">
        <v>135</v>
      </c>
      <c r="AZ314" s="27">
        <v>1</v>
      </c>
      <c r="BA314" s="29">
        <f>$AQ$242-AV178</f>
        <v>22.334220944888109</v>
      </c>
      <c r="BB314" s="29">
        <f>AS178</f>
        <v>74.5</v>
      </c>
    </row>
    <row r="315" spans="51:54" x14ac:dyDescent="0.25">
      <c r="AY315" s="27">
        <v>135</v>
      </c>
      <c r="AZ315" s="27">
        <v>2</v>
      </c>
      <c r="BA315" s="29">
        <f>$AQ$242-AQ178</f>
        <v>21.74518515750167</v>
      </c>
      <c r="BB315" s="29">
        <f>AS178</f>
        <v>74.5</v>
      </c>
    </row>
    <row r="316" spans="51:54" x14ac:dyDescent="0.25">
      <c r="AY316" s="27">
        <v>135</v>
      </c>
      <c r="AZ316" s="27">
        <v>3</v>
      </c>
      <c r="BA316" s="29">
        <f>$AQ$242-AQ178</f>
        <v>21.74518515750167</v>
      </c>
      <c r="BB316" s="29">
        <f>AT178</f>
        <v>73</v>
      </c>
    </row>
    <row r="317" spans="51:54" x14ac:dyDescent="0.25">
      <c r="AY317" s="27">
        <v>135</v>
      </c>
      <c r="AZ317" s="27">
        <v>4</v>
      </c>
      <c r="BA317" s="29">
        <f>$AQ$242-AW178</f>
        <v>22.031292137180433</v>
      </c>
      <c r="BB317" s="29">
        <f>AT178</f>
        <v>73</v>
      </c>
    </row>
    <row r="318" spans="51:54" x14ac:dyDescent="0.25">
      <c r="AZ318" s="28" t="s">
        <v>159</v>
      </c>
    </row>
    <row r="319" spans="51:54" x14ac:dyDescent="0.25">
      <c r="AY319" s="27">
        <v>136</v>
      </c>
      <c r="AZ319" s="27">
        <v>1</v>
      </c>
      <c r="BA319" s="29">
        <f>$AQ$242-AV179</f>
        <v>22.334220944888109</v>
      </c>
      <c r="BB319" s="29">
        <f>AS179</f>
        <v>71.5</v>
      </c>
    </row>
    <row r="320" spans="51:54" x14ac:dyDescent="0.25">
      <c r="AY320" s="27">
        <v>136</v>
      </c>
      <c r="AZ320" s="27">
        <v>2</v>
      </c>
      <c r="BA320" s="29">
        <f>$AQ$242-AQ179</f>
        <v>21.738887922913865</v>
      </c>
      <c r="BB320" s="29">
        <f>AS179</f>
        <v>71.5</v>
      </c>
    </row>
    <row r="321" spans="51:54" x14ac:dyDescent="0.25">
      <c r="AY321" s="27">
        <v>136</v>
      </c>
      <c r="AZ321" s="27">
        <v>3</v>
      </c>
      <c r="BA321" s="29">
        <f>$AQ$242-AQ179</f>
        <v>21.738887922913865</v>
      </c>
      <c r="BB321" s="29">
        <f>AT179</f>
        <v>69.625</v>
      </c>
    </row>
    <row r="322" spans="51:54" x14ac:dyDescent="0.25">
      <c r="AY322" s="27">
        <v>136</v>
      </c>
      <c r="AZ322" s="27">
        <v>4</v>
      </c>
      <c r="BA322" s="29">
        <f>$AQ$242-AW179</f>
        <v>22.334220944888109</v>
      </c>
      <c r="BB322" s="29">
        <f>AT179</f>
        <v>69.625</v>
      </c>
    </row>
    <row r="323" spans="51:54" x14ac:dyDescent="0.25">
      <c r="AZ323" s="28" t="s">
        <v>159</v>
      </c>
    </row>
    <row r="324" spans="51:54" x14ac:dyDescent="0.25">
      <c r="AY324" s="27">
        <v>137</v>
      </c>
      <c r="AZ324" s="27">
        <v>1</v>
      </c>
      <c r="BA324" s="29">
        <f>$AQ$242-AV180</f>
        <v>22.334220944888109</v>
      </c>
      <c r="BB324" s="29">
        <f>AS180</f>
        <v>94.5</v>
      </c>
    </row>
    <row r="325" spans="51:54" x14ac:dyDescent="0.25">
      <c r="AY325" s="27">
        <v>137</v>
      </c>
      <c r="AZ325" s="27">
        <v>2</v>
      </c>
      <c r="BA325" s="29">
        <f>$AQ$242-AQ180</f>
        <v>21.738887922913865</v>
      </c>
      <c r="BB325" s="29">
        <f>AS180</f>
        <v>94.5</v>
      </c>
    </row>
    <row r="326" spans="51:54" x14ac:dyDescent="0.25">
      <c r="AY326" s="27">
        <v>137</v>
      </c>
      <c r="AZ326" s="27">
        <v>3</v>
      </c>
      <c r="BA326" s="29">
        <f>$AQ$242-AQ180</f>
        <v>21.738887922913865</v>
      </c>
      <c r="BB326" s="29">
        <f>AT180</f>
        <v>92.625</v>
      </c>
    </row>
    <row r="327" spans="51:54" x14ac:dyDescent="0.25">
      <c r="AY327" s="27">
        <v>137</v>
      </c>
      <c r="AZ327" s="27">
        <v>4</v>
      </c>
      <c r="BA327" s="29">
        <f>$AQ$242-AW180</f>
        <v>22.334220944888109</v>
      </c>
      <c r="BB327" s="29">
        <f>AT180</f>
        <v>92.625</v>
      </c>
    </row>
    <row r="328" spans="51:54" x14ac:dyDescent="0.25">
      <c r="AZ328" s="28" t="s">
        <v>159</v>
      </c>
    </row>
    <row r="329" spans="51:54" x14ac:dyDescent="0.25">
      <c r="AY329" s="27">
        <v>138</v>
      </c>
      <c r="AZ329" s="27">
        <v>1</v>
      </c>
      <c r="BA329" s="29">
        <f>$AQ$242-AV181</f>
        <v>22.334220944888109</v>
      </c>
      <c r="BB329" s="29">
        <f>AS181</f>
        <v>38.5</v>
      </c>
    </row>
    <row r="330" spans="51:54" x14ac:dyDescent="0.25">
      <c r="AY330" s="27">
        <v>138</v>
      </c>
      <c r="AZ330" s="27">
        <v>2</v>
      </c>
      <c r="BA330" s="29">
        <f>$AQ$242-AQ181</f>
        <v>21.718230170387553</v>
      </c>
      <c r="BB330" s="29">
        <f>AS181</f>
        <v>38.5</v>
      </c>
    </row>
    <row r="331" spans="51:54" x14ac:dyDescent="0.25">
      <c r="AY331" s="27">
        <v>138</v>
      </c>
      <c r="AZ331" s="27">
        <v>3</v>
      </c>
      <c r="BA331" s="29">
        <f>$AQ$242-AQ181</f>
        <v>21.718230170387553</v>
      </c>
      <c r="BB331" s="29">
        <f>AT181</f>
        <v>37</v>
      </c>
    </row>
    <row r="332" spans="51:54" x14ac:dyDescent="0.25">
      <c r="AY332" s="27">
        <v>138</v>
      </c>
      <c r="AZ332" s="27">
        <v>4</v>
      </c>
      <c r="BA332" s="29">
        <f>$AQ$242-AW181</f>
        <v>22.334220944888109</v>
      </c>
      <c r="BB332" s="29">
        <f>AT181</f>
        <v>37</v>
      </c>
    </row>
    <row r="333" spans="51:54" x14ac:dyDescent="0.25">
      <c r="AZ333" s="28" t="s">
        <v>159</v>
      </c>
    </row>
    <row r="334" spans="51:54" x14ac:dyDescent="0.25">
      <c r="AY334" s="27">
        <v>139</v>
      </c>
      <c r="AZ334" s="27">
        <v>1</v>
      </c>
      <c r="BA334" s="29">
        <f>$AQ$242-AV182</f>
        <v>22.334220944888109</v>
      </c>
      <c r="BB334" s="29">
        <f>AS182</f>
        <v>27.5</v>
      </c>
    </row>
    <row r="335" spans="51:54" x14ac:dyDescent="0.25">
      <c r="AY335" s="27">
        <v>139</v>
      </c>
      <c r="AZ335" s="27">
        <v>2</v>
      </c>
      <c r="BA335" s="29">
        <f>$AQ$242-AQ182</f>
        <v>21.689769531505569</v>
      </c>
      <c r="BB335" s="29">
        <f>AS182</f>
        <v>27.5</v>
      </c>
    </row>
    <row r="336" spans="51:54" x14ac:dyDescent="0.25">
      <c r="AY336" s="27">
        <v>139</v>
      </c>
      <c r="AZ336" s="27">
        <v>3</v>
      </c>
      <c r="BA336" s="29">
        <f>$AQ$242-AQ182</f>
        <v>21.689769531505569</v>
      </c>
      <c r="BB336" s="29">
        <f>AT182</f>
        <v>26</v>
      </c>
    </row>
    <row r="337" spans="51:54" x14ac:dyDescent="0.25">
      <c r="AY337" s="27">
        <v>139</v>
      </c>
      <c r="AZ337" s="27">
        <v>4</v>
      </c>
      <c r="BA337" s="29">
        <f>$AQ$242-AW182</f>
        <v>22.334220944888109</v>
      </c>
      <c r="BB337" s="29">
        <f>AT182</f>
        <v>26</v>
      </c>
    </row>
    <row r="338" spans="51:54" x14ac:dyDescent="0.25">
      <c r="AZ338" s="28" t="s">
        <v>159</v>
      </c>
    </row>
    <row r="339" spans="51:54" x14ac:dyDescent="0.25">
      <c r="AY339" s="27">
        <v>140</v>
      </c>
      <c r="AZ339" s="27">
        <v>1</v>
      </c>
      <c r="BA339" s="29">
        <f>$AQ$242-AV183</f>
        <v>22.334220944888109</v>
      </c>
      <c r="BB339" s="29">
        <f>AS183</f>
        <v>75.5</v>
      </c>
    </row>
    <row r="340" spans="51:54" x14ac:dyDescent="0.25">
      <c r="AY340" s="27">
        <v>140</v>
      </c>
      <c r="AZ340" s="27">
        <v>2</v>
      </c>
      <c r="BA340" s="29">
        <f>$AQ$242-AQ183</f>
        <v>21.689182542612013</v>
      </c>
      <c r="BB340" s="29">
        <f>AS183</f>
        <v>75.5</v>
      </c>
    </row>
    <row r="341" spans="51:54" x14ac:dyDescent="0.25">
      <c r="AY341" s="27">
        <v>140</v>
      </c>
      <c r="AZ341" s="27">
        <v>3</v>
      </c>
      <c r="BA341" s="29">
        <f>$AQ$242-AQ183</f>
        <v>21.689182542612013</v>
      </c>
      <c r="BB341" s="29">
        <f>AT183</f>
        <v>73.75</v>
      </c>
    </row>
    <row r="342" spans="51:54" x14ac:dyDescent="0.25">
      <c r="AY342" s="27">
        <v>140</v>
      </c>
      <c r="AZ342" s="27">
        <v>4</v>
      </c>
      <c r="BA342" s="29">
        <f>$AQ$242-AW183</f>
        <v>21.74518515750167</v>
      </c>
      <c r="BB342" s="29">
        <f>AT183</f>
        <v>73.75</v>
      </c>
    </row>
    <row r="343" spans="51:54" x14ac:dyDescent="0.25">
      <c r="AZ343" s="28" t="s">
        <v>159</v>
      </c>
    </row>
    <row r="344" spans="51:54" x14ac:dyDescent="0.25">
      <c r="AY344" s="27">
        <v>141</v>
      </c>
      <c r="AZ344" s="27">
        <v>1</v>
      </c>
      <c r="BA344" s="29">
        <f>$AQ$242-AV184</f>
        <v>22.334220944888109</v>
      </c>
      <c r="BB344" s="29">
        <f>AS184</f>
        <v>44.5</v>
      </c>
    </row>
    <row r="345" spans="51:54" x14ac:dyDescent="0.25">
      <c r="AY345" s="27">
        <v>141</v>
      </c>
      <c r="AZ345" s="27">
        <v>2</v>
      </c>
      <c r="BA345" s="29">
        <f>$AQ$242-AQ184</f>
        <v>21.668704706210722</v>
      </c>
      <c r="BB345" s="29">
        <f>AS184</f>
        <v>44.5</v>
      </c>
    </row>
    <row r="346" spans="51:54" x14ac:dyDescent="0.25">
      <c r="AY346" s="27">
        <v>141</v>
      </c>
      <c r="AZ346" s="27">
        <v>3</v>
      </c>
      <c r="BA346" s="29">
        <f>$AQ$242-AQ184</f>
        <v>21.668704706210722</v>
      </c>
      <c r="BB346" s="29">
        <f>AT184</f>
        <v>43.5</v>
      </c>
    </row>
    <row r="347" spans="51:54" x14ac:dyDescent="0.25">
      <c r="AY347" s="27">
        <v>141</v>
      </c>
      <c r="AZ347" s="27">
        <v>4</v>
      </c>
      <c r="BA347" s="29">
        <f>$AQ$242-AW184</f>
        <v>22.334220944888109</v>
      </c>
      <c r="BB347" s="29">
        <f>AT184</f>
        <v>43.5</v>
      </c>
    </row>
    <row r="348" spans="51:54" x14ac:dyDescent="0.25">
      <c r="AZ348" s="28" t="s">
        <v>159</v>
      </c>
    </row>
    <row r="349" spans="51:54" x14ac:dyDescent="0.25">
      <c r="AY349" s="27">
        <v>142</v>
      </c>
      <c r="AZ349" s="27">
        <v>1</v>
      </c>
      <c r="BA349" s="29">
        <f>$AQ$242-AV185</f>
        <v>22.334220944888109</v>
      </c>
      <c r="BB349" s="29">
        <f>AS185</f>
        <v>88.75</v>
      </c>
    </row>
    <row r="350" spans="51:54" x14ac:dyDescent="0.25">
      <c r="AY350" s="27">
        <v>142</v>
      </c>
      <c r="AZ350" s="27">
        <v>2</v>
      </c>
      <c r="BA350" s="29">
        <f>$AQ$242-AQ185</f>
        <v>21.605089879455097</v>
      </c>
      <c r="BB350" s="29">
        <f>AS185</f>
        <v>88.75</v>
      </c>
    </row>
    <row r="351" spans="51:54" x14ac:dyDescent="0.25">
      <c r="AY351" s="27">
        <v>142</v>
      </c>
      <c r="AZ351" s="27">
        <v>3</v>
      </c>
      <c r="BA351" s="29">
        <f>$AQ$242-AQ185</f>
        <v>21.605089879455097</v>
      </c>
      <c r="BB351" s="29">
        <f>AT185</f>
        <v>86</v>
      </c>
    </row>
    <row r="352" spans="51:54" x14ac:dyDescent="0.25">
      <c r="AY352" s="27">
        <v>142</v>
      </c>
      <c r="AZ352" s="27">
        <v>4</v>
      </c>
      <c r="BA352" s="29">
        <f>$AQ$242-AW185</f>
        <v>22.334220944888109</v>
      </c>
      <c r="BB352" s="29">
        <f>AT185</f>
        <v>86</v>
      </c>
    </row>
    <row r="353" spans="51:54" x14ac:dyDescent="0.25">
      <c r="AZ353" s="28" t="s">
        <v>159</v>
      </c>
    </row>
    <row r="354" spans="51:54" x14ac:dyDescent="0.25">
      <c r="AY354" s="27">
        <v>143</v>
      </c>
      <c r="AZ354" s="27">
        <v>1</v>
      </c>
      <c r="BA354" s="29">
        <f>$AQ$242-AV186</f>
        <v>22.334220944888109</v>
      </c>
      <c r="BB354" s="29">
        <f>AS186</f>
        <v>65.75</v>
      </c>
    </row>
    <row r="355" spans="51:54" x14ac:dyDescent="0.25">
      <c r="AY355" s="27">
        <v>143</v>
      </c>
      <c r="AZ355" s="27">
        <v>2</v>
      </c>
      <c r="BA355" s="29">
        <f>$AQ$242-AQ186</f>
        <v>21.605089879455097</v>
      </c>
      <c r="BB355" s="29">
        <f>AS186</f>
        <v>65.75</v>
      </c>
    </row>
    <row r="356" spans="51:54" x14ac:dyDescent="0.25">
      <c r="AY356" s="27">
        <v>143</v>
      </c>
      <c r="AZ356" s="27">
        <v>3</v>
      </c>
      <c r="BA356" s="29">
        <f>$AQ$242-AQ186</f>
        <v>21.605089879455097</v>
      </c>
      <c r="BB356" s="29">
        <f>AT186</f>
        <v>63</v>
      </c>
    </row>
    <row r="357" spans="51:54" x14ac:dyDescent="0.25">
      <c r="AY357" s="27">
        <v>143</v>
      </c>
      <c r="AZ357" s="27">
        <v>4</v>
      </c>
      <c r="BA357" s="29">
        <f>$AQ$242-AW186</f>
        <v>22.334220944888109</v>
      </c>
      <c r="BB357" s="29">
        <f>AT186</f>
        <v>63</v>
      </c>
    </row>
    <row r="358" spans="51:54" x14ac:dyDescent="0.25">
      <c r="AZ358" s="28" t="s">
        <v>159</v>
      </c>
    </row>
    <row r="359" spans="51:54" x14ac:dyDescent="0.25">
      <c r="AY359" s="27">
        <v>144</v>
      </c>
      <c r="AZ359" s="27">
        <v>1</v>
      </c>
      <c r="BA359" s="29">
        <f>$AQ$242-AV187</f>
        <v>22.334220944888109</v>
      </c>
      <c r="BB359" s="29">
        <f>AS187</f>
        <v>40.5</v>
      </c>
    </row>
    <row r="360" spans="51:54" x14ac:dyDescent="0.25">
      <c r="AY360" s="27">
        <v>144</v>
      </c>
      <c r="AZ360" s="27">
        <v>2</v>
      </c>
      <c r="BA360" s="29">
        <f>$AQ$242-AQ187</f>
        <v>21.604151360830411</v>
      </c>
      <c r="BB360" s="29">
        <f>AS187</f>
        <v>40.5</v>
      </c>
    </row>
    <row r="361" spans="51:54" x14ac:dyDescent="0.25">
      <c r="AY361" s="27">
        <v>144</v>
      </c>
      <c r="AZ361" s="27">
        <v>3</v>
      </c>
      <c r="BA361" s="29">
        <f>$AQ$242-AQ187</f>
        <v>21.604151360830411</v>
      </c>
      <c r="BB361" s="29">
        <f>AT187</f>
        <v>39.5</v>
      </c>
    </row>
    <row r="362" spans="51:54" x14ac:dyDescent="0.25">
      <c r="AY362" s="27">
        <v>144</v>
      </c>
      <c r="AZ362" s="27">
        <v>4</v>
      </c>
      <c r="BA362" s="29">
        <f>$AQ$242-AW187</f>
        <v>22.334220944888109</v>
      </c>
      <c r="BB362" s="29">
        <f>AT187</f>
        <v>39.5</v>
      </c>
    </row>
    <row r="363" spans="51:54" x14ac:dyDescent="0.25">
      <c r="AZ363" s="28" t="s">
        <v>159</v>
      </c>
    </row>
    <row r="364" spans="51:54" x14ac:dyDescent="0.25">
      <c r="AY364" s="27">
        <v>145</v>
      </c>
      <c r="AZ364" s="27">
        <v>1</v>
      </c>
      <c r="BA364" s="29">
        <f>$AQ$242-AV188</f>
        <v>22.334220944888109</v>
      </c>
      <c r="BB364" s="29">
        <f>AS188</f>
        <v>99.5</v>
      </c>
    </row>
    <row r="365" spans="51:54" x14ac:dyDescent="0.25">
      <c r="AY365" s="27">
        <v>145</v>
      </c>
      <c r="AZ365" s="27">
        <v>2</v>
      </c>
      <c r="BA365" s="29">
        <f>$AQ$242-AQ188</f>
        <v>21.590054667420304</v>
      </c>
      <c r="BB365" s="29">
        <f>AS188</f>
        <v>99.5</v>
      </c>
    </row>
    <row r="366" spans="51:54" x14ac:dyDescent="0.25">
      <c r="AY366" s="27">
        <v>145</v>
      </c>
      <c r="AZ366" s="27">
        <v>3</v>
      </c>
      <c r="BA366" s="29">
        <f>$AQ$242-AQ188</f>
        <v>21.590054667420304</v>
      </c>
      <c r="BB366" s="29">
        <f>AT188</f>
        <v>97.625</v>
      </c>
    </row>
    <row r="367" spans="51:54" x14ac:dyDescent="0.25">
      <c r="AY367" s="27">
        <v>145</v>
      </c>
      <c r="AZ367" s="27">
        <v>4</v>
      </c>
      <c r="BA367" s="29">
        <f>$AQ$242-AW188</f>
        <v>21.757792224999715</v>
      </c>
      <c r="BB367" s="29">
        <f>AT188</f>
        <v>97.625</v>
      </c>
    </row>
    <row r="368" spans="51:54" x14ac:dyDescent="0.25">
      <c r="AZ368" s="28" t="s">
        <v>159</v>
      </c>
    </row>
    <row r="369" spans="51:54" x14ac:dyDescent="0.25">
      <c r="AY369" s="27">
        <v>146</v>
      </c>
      <c r="AZ369" s="27">
        <v>1</v>
      </c>
      <c r="BA369" s="29">
        <f>$AQ$242-AV189</f>
        <v>22.334220944888109</v>
      </c>
      <c r="BB369" s="29">
        <f>AS189</f>
        <v>7.5</v>
      </c>
    </row>
    <row r="370" spans="51:54" x14ac:dyDescent="0.25">
      <c r="AY370" s="27">
        <v>146</v>
      </c>
      <c r="AZ370" s="27">
        <v>2</v>
      </c>
      <c r="BA370" s="29">
        <f>$AQ$242-AQ189</f>
        <v>21.565649318370248</v>
      </c>
      <c r="BB370" s="29">
        <f>AS189</f>
        <v>7.5</v>
      </c>
    </row>
    <row r="371" spans="51:54" x14ac:dyDescent="0.25">
      <c r="AY371" s="27">
        <v>146</v>
      </c>
      <c r="AZ371" s="27">
        <v>3</v>
      </c>
      <c r="BA371" s="29">
        <f>$AQ$242-AQ189</f>
        <v>21.565649318370248</v>
      </c>
      <c r="BB371" s="29">
        <f>AT189</f>
        <v>5.75</v>
      </c>
    </row>
    <row r="372" spans="51:54" x14ac:dyDescent="0.25">
      <c r="AY372" s="27">
        <v>146</v>
      </c>
      <c r="AZ372" s="27">
        <v>4</v>
      </c>
      <c r="BA372" s="29">
        <f>$AQ$242-AW189</f>
        <v>21.790758735949755</v>
      </c>
      <c r="BB372" s="29">
        <f>AT189</f>
        <v>5.75</v>
      </c>
    </row>
    <row r="373" spans="51:54" x14ac:dyDescent="0.25">
      <c r="AZ373" s="28" t="s">
        <v>159</v>
      </c>
    </row>
    <row r="374" spans="51:54" x14ac:dyDescent="0.25">
      <c r="AY374" s="27">
        <v>147</v>
      </c>
      <c r="AZ374" s="27">
        <v>1</v>
      </c>
      <c r="BA374" s="29">
        <f>$AQ$242-AV190</f>
        <v>22.334220944888109</v>
      </c>
      <c r="BB374" s="29">
        <f>AS190</f>
        <v>3.5</v>
      </c>
    </row>
    <row r="375" spans="51:54" x14ac:dyDescent="0.25">
      <c r="AY375" s="27">
        <v>147</v>
      </c>
      <c r="AZ375" s="27">
        <v>2</v>
      </c>
      <c r="BA375" s="29">
        <f>$AQ$242-AQ190</f>
        <v>21.565649318370248</v>
      </c>
      <c r="BB375" s="29">
        <f>AS190</f>
        <v>3.5</v>
      </c>
    </row>
    <row r="376" spans="51:54" x14ac:dyDescent="0.25">
      <c r="AY376" s="27">
        <v>147</v>
      </c>
      <c r="AZ376" s="27">
        <v>3</v>
      </c>
      <c r="BA376" s="29">
        <f>$AQ$242-AQ190</f>
        <v>21.565649318370248</v>
      </c>
      <c r="BB376" s="29">
        <f>AT190</f>
        <v>1.75</v>
      </c>
    </row>
    <row r="377" spans="51:54" x14ac:dyDescent="0.25">
      <c r="AY377" s="27">
        <v>147</v>
      </c>
      <c r="AZ377" s="27">
        <v>4</v>
      </c>
      <c r="BA377" s="29">
        <f>$AQ$242-AW190</f>
        <v>21.790758735949755</v>
      </c>
      <c r="BB377" s="29">
        <f>AT190</f>
        <v>1.75</v>
      </c>
    </row>
    <row r="378" spans="51:54" x14ac:dyDescent="0.25">
      <c r="AZ378" s="28" t="s">
        <v>159</v>
      </c>
    </row>
    <row r="379" spans="51:54" x14ac:dyDescent="0.25">
      <c r="AY379" s="27">
        <v>148</v>
      </c>
      <c r="AZ379" s="27">
        <v>1</v>
      </c>
      <c r="BA379" s="29">
        <f>$AQ$242-AV191</f>
        <v>22.334220944888109</v>
      </c>
      <c r="BB379" s="29">
        <f>AS191</f>
        <v>56.5</v>
      </c>
    </row>
    <row r="380" spans="51:54" x14ac:dyDescent="0.25">
      <c r="AY380" s="27">
        <v>148</v>
      </c>
      <c r="AZ380" s="27">
        <v>2</v>
      </c>
      <c r="BA380" s="29">
        <f>$AQ$242-AQ191</f>
        <v>21.519027631480579</v>
      </c>
      <c r="BB380" s="29">
        <f>AS191</f>
        <v>56.5</v>
      </c>
    </row>
    <row r="381" spans="51:54" x14ac:dyDescent="0.25">
      <c r="AY381" s="27">
        <v>148</v>
      </c>
      <c r="AZ381" s="27">
        <v>3</v>
      </c>
      <c r="BA381" s="29">
        <f>$AQ$242-AQ191</f>
        <v>21.519027631480579</v>
      </c>
      <c r="BB381" s="29">
        <f>AT191</f>
        <v>55</v>
      </c>
    </row>
    <row r="382" spans="51:54" x14ac:dyDescent="0.25">
      <c r="AY382" s="27">
        <v>148</v>
      </c>
      <c r="AZ382" s="27">
        <v>4</v>
      </c>
      <c r="BA382" s="29">
        <f>$AQ$242-AW191</f>
        <v>21.86356886595069</v>
      </c>
      <c r="BB382" s="29">
        <f>AT191</f>
        <v>55</v>
      </c>
    </row>
    <row r="383" spans="51:54" x14ac:dyDescent="0.25">
      <c r="AZ383" s="28" t="s">
        <v>159</v>
      </c>
    </row>
    <row r="384" spans="51:54" x14ac:dyDescent="0.25">
      <c r="AY384" s="27">
        <v>149</v>
      </c>
      <c r="AZ384" s="27">
        <v>1</v>
      </c>
      <c r="BA384" s="29">
        <f>$AQ$242-AV192</f>
        <v>22.334220944888109</v>
      </c>
      <c r="BB384" s="29">
        <f>AS192</f>
        <v>19.5</v>
      </c>
    </row>
    <row r="385" spans="51:54" x14ac:dyDescent="0.25">
      <c r="AY385" s="27">
        <v>149</v>
      </c>
      <c r="AZ385" s="27">
        <v>2</v>
      </c>
      <c r="BA385" s="29">
        <f>$AQ$242-AQ192</f>
        <v>21.514810771758345</v>
      </c>
      <c r="BB385" s="29">
        <f>AS192</f>
        <v>19.5</v>
      </c>
    </row>
    <row r="386" spans="51:54" x14ac:dyDescent="0.25">
      <c r="AY386" s="27">
        <v>149</v>
      </c>
      <c r="AZ386" s="27">
        <v>3</v>
      </c>
      <c r="BA386" s="29">
        <f>$AQ$242-AQ192</f>
        <v>21.514810771758345</v>
      </c>
      <c r="BB386" s="29">
        <f>AT192</f>
        <v>18.5</v>
      </c>
    </row>
    <row r="387" spans="51:54" x14ac:dyDescent="0.25">
      <c r="AY387" s="27">
        <v>149</v>
      </c>
      <c r="AZ387" s="27">
        <v>4</v>
      </c>
      <c r="BA387" s="29">
        <f>$AQ$242-AW192</f>
        <v>22.334220944888109</v>
      </c>
      <c r="BB387" s="29">
        <f>AT192</f>
        <v>18.5</v>
      </c>
    </row>
    <row r="388" spans="51:54" x14ac:dyDescent="0.25">
      <c r="AZ388" s="28" t="s">
        <v>159</v>
      </c>
    </row>
    <row r="389" spans="51:54" x14ac:dyDescent="0.25">
      <c r="AY389" s="27">
        <v>150</v>
      </c>
      <c r="AZ389" s="27">
        <v>1</v>
      </c>
      <c r="BA389" s="29">
        <f>$AQ$242-AV193</f>
        <v>21.834676619210533</v>
      </c>
      <c r="BB389" s="29">
        <f>AS193</f>
        <v>21</v>
      </c>
    </row>
    <row r="390" spans="51:54" x14ac:dyDescent="0.25">
      <c r="AY390" s="27">
        <v>150</v>
      </c>
      <c r="AZ390" s="27">
        <v>2</v>
      </c>
      <c r="BA390" s="29">
        <f>$AQ$242-AQ193</f>
        <v>21.466995457052281</v>
      </c>
      <c r="BB390" s="29">
        <f>AS193</f>
        <v>21</v>
      </c>
    </row>
    <row r="391" spans="51:54" x14ac:dyDescent="0.25">
      <c r="AY391" s="27">
        <v>150</v>
      </c>
      <c r="AZ391" s="27">
        <v>3</v>
      </c>
      <c r="BA391" s="29">
        <f>$AQ$242-AQ193</f>
        <v>21.466995457052281</v>
      </c>
      <c r="BB391" s="29">
        <f>AT193</f>
        <v>19</v>
      </c>
    </row>
    <row r="392" spans="51:54" x14ac:dyDescent="0.25">
      <c r="AY392" s="27">
        <v>150</v>
      </c>
      <c r="AZ392" s="27">
        <v>4</v>
      </c>
      <c r="BA392" s="29">
        <f>$AQ$242-AW193</f>
        <v>21.514810771758345</v>
      </c>
      <c r="BB392" s="29">
        <f>AT193</f>
        <v>19</v>
      </c>
    </row>
    <row r="393" spans="51:54" x14ac:dyDescent="0.25">
      <c r="AZ393" s="28" t="s">
        <v>159</v>
      </c>
    </row>
    <row r="394" spans="51:54" x14ac:dyDescent="0.25">
      <c r="AY394" s="27">
        <v>151</v>
      </c>
      <c r="AZ394" s="27">
        <v>1</v>
      </c>
      <c r="BA394" s="29">
        <f>$AQ$242-AV194</f>
        <v>22.334220944888109</v>
      </c>
      <c r="BB394" s="29">
        <f>AS194</f>
        <v>47.5</v>
      </c>
    </row>
    <row r="395" spans="51:54" x14ac:dyDescent="0.25">
      <c r="AY395" s="27">
        <v>151</v>
      </c>
      <c r="AZ395" s="27">
        <v>2</v>
      </c>
      <c r="BA395" s="29">
        <f>$AQ$242-AQ194</f>
        <v>21.458584096993732</v>
      </c>
      <c r="BB395" s="29">
        <f>AS194</f>
        <v>47.5</v>
      </c>
    </row>
    <row r="396" spans="51:54" x14ac:dyDescent="0.25">
      <c r="AY396" s="27">
        <v>151</v>
      </c>
      <c r="AZ396" s="27">
        <v>3</v>
      </c>
      <c r="BA396" s="29">
        <f>$AQ$242-AQ194</f>
        <v>21.458584096993732</v>
      </c>
      <c r="BB396" s="29">
        <f>AT194</f>
        <v>46.5</v>
      </c>
    </row>
    <row r="397" spans="51:54" x14ac:dyDescent="0.25">
      <c r="AY397" s="27">
        <v>151</v>
      </c>
      <c r="AZ397" s="27">
        <v>4</v>
      </c>
      <c r="BA397" s="29">
        <f>$AQ$242-AW194</f>
        <v>22.334220944888109</v>
      </c>
      <c r="BB397" s="29">
        <f>AT194</f>
        <v>46.5</v>
      </c>
    </row>
    <row r="398" spans="51:54" x14ac:dyDescent="0.25">
      <c r="AZ398" s="28" t="s">
        <v>159</v>
      </c>
    </row>
    <row r="399" spans="51:54" x14ac:dyDescent="0.25">
      <c r="AY399" s="27">
        <v>152</v>
      </c>
      <c r="AZ399" s="27">
        <v>1</v>
      </c>
      <c r="BA399" s="29">
        <f>$AQ$242-AV195</f>
        <v>22.334220944888109</v>
      </c>
      <c r="BB399" s="29">
        <f>AS195</f>
        <v>45.5</v>
      </c>
    </row>
    <row r="400" spans="51:54" x14ac:dyDescent="0.25">
      <c r="AY400" s="27">
        <v>152</v>
      </c>
      <c r="AZ400" s="27">
        <v>2</v>
      </c>
      <c r="BA400" s="29">
        <f>$AQ$242-AQ195</f>
        <v>21.451405954401526</v>
      </c>
      <c r="BB400" s="29">
        <f>AS195</f>
        <v>45.5</v>
      </c>
    </row>
    <row r="401" spans="51:54" x14ac:dyDescent="0.25">
      <c r="AY401" s="27">
        <v>152</v>
      </c>
      <c r="AZ401" s="27">
        <v>3</v>
      </c>
      <c r="BA401" s="29">
        <f>$AQ$242-AQ195</f>
        <v>21.451405954401526</v>
      </c>
      <c r="BB401" s="29">
        <f>AT195</f>
        <v>44</v>
      </c>
    </row>
    <row r="402" spans="51:54" x14ac:dyDescent="0.25">
      <c r="AY402" s="27">
        <v>152</v>
      </c>
      <c r="AZ402" s="27">
        <v>4</v>
      </c>
      <c r="BA402" s="29">
        <f>$AQ$242-AW195</f>
        <v>21.668704706210722</v>
      </c>
      <c r="BB402" s="29">
        <f>AT195</f>
        <v>44</v>
      </c>
    </row>
    <row r="403" spans="51:54" x14ac:dyDescent="0.25">
      <c r="AZ403" s="28" t="s">
        <v>159</v>
      </c>
    </row>
    <row r="404" spans="51:54" x14ac:dyDescent="0.25">
      <c r="AY404" s="27">
        <v>153</v>
      </c>
      <c r="AZ404" s="27">
        <v>1</v>
      </c>
      <c r="BA404" s="29">
        <f>$AQ$242-AV196</f>
        <v>22.334220944888109</v>
      </c>
      <c r="BB404" s="29">
        <f>AS196</f>
        <v>84.5</v>
      </c>
    </row>
    <row r="405" spans="51:54" x14ac:dyDescent="0.25">
      <c r="AY405" s="27">
        <v>153</v>
      </c>
      <c r="AZ405" s="27">
        <v>2</v>
      </c>
      <c r="BA405" s="29">
        <f>$AQ$242-AQ196</f>
        <v>21.403013116450747</v>
      </c>
      <c r="BB405" s="29">
        <f>AS196</f>
        <v>84.5</v>
      </c>
    </row>
    <row r="406" spans="51:54" x14ac:dyDescent="0.25">
      <c r="AY406" s="27">
        <v>153</v>
      </c>
      <c r="AZ406" s="27">
        <v>3</v>
      </c>
      <c r="BA406" s="29">
        <f>$AQ$242-AQ196</f>
        <v>21.403013116450747</v>
      </c>
      <c r="BB406" s="29">
        <f>AT196</f>
        <v>83.5</v>
      </c>
    </row>
    <row r="407" spans="51:54" x14ac:dyDescent="0.25">
      <c r="AY407" s="27">
        <v>153</v>
      </c>
      <c r="AZ407" s="27">
        <v>4</v>
      </c>
      <c r="BA407" s="29">
        <f>$AQ$242-AW196</f>
        <v>22.334220944888109</v>
      </c>
      <c r="BB407" s="29">
        <f>AT196</f>
        <v>83.5</v>
      </c>
    </row>
    <row r="408" spans="51:54" x14ac:dyDescent="0.25">
      <c r="AZ408" s="28" t="s">
        <v>159</v>
      </c>
    </row>
    <row r="409" spans="51:54" x14ac:dyDescent="0.25">
      <c r="AY409" s="27">
        <v>154</v>
      </c>
      <c r="AZ409" s="27">
        <v>1</v>
      </c>
      <c r="BA409" s="29">
        <f>$AQ$242-AV197</f>
        <v>22.334220944888109</v>
      </c>
      <c r="BB409" s="29">
        <f>AS197</f>
        <v>28.5</v>
      </c>
    </row>
    <row r="410" spans="51:54" x14ac:dyDescent="0.25">
      <c r="AY410" s="27">
        <v>154</v>
      </c>
      <c r="AZ410" s="27">
        <v>2</v>
      </c>
      <c r="BA410" s="29">
        <f>$AQ$242-AQ197</f>
        <v>21.326805571230928</v>
      </c>
      <c r="BB410" s="29">
        <f>AS197</f>
        <v>28.5</v>
      </c>
    </row>
    <row r="411" spans="51:54" x14ac:dyDescent="0.25">
      <c r="AY411" s="27">
        <v>154</v>
      </c>
      <c r="AZ411" s="27">
        <v>3</v>
      </c>
      <c r="BA411" s="29">
        <f>$AQ$242-AQ197</f>
        <v>21.326805571230928</v>
      </c>
      <c r="BB411" s="29">
        <f>AT197</f>
        <v>26.75</v>
      </c>
    </row>
    <row r="412" spans="51:54" x14ac:dyDescent="0.25">
      <c r="AY412" s="27">
        <v>154</v>
      </c>
      <c r="AZ412" s="27">
        <v>4</v>
      </c>
      <c r="BA412" s="29">
        <f>$AQ$242-AW197</f>
        <v>21.689769531505569</v>
      </c>
      <c r="BB412" s="29">
        <f>AT197</f>
        <v>26.75</v>
      </c>
    </row>
    <row r="413" spans="51:54" x14ac:dyDescent="0.25">
      <c r="AZ413" s="28" t="s">
        <v>159</v>
      </c>
    </row>
    <row r="414" spans="51:54" x14ac:dyDescent="0.25">
      <c r="AY414" s="27">
        <v>155</v>
      </c>
      <c r="AZ414" s="27">
        <v>1</v>
      </c>
      <c r="BA414" s="29">
        <f>$AQ$242-AV198</f>
        <v>22.334220944888109</v>
      </c>
      <c r="BB414" s="29">
        <f>AS198</f>
        <v>16</v>
      </c>
    </row>
    <row r="415" spans="51:54" x14ac:dyDescent="0.25">
      <c r="AY415" s="27">
        <v>155</v>
      </c>
      <c r="AZ415" s="27">
        <v>2</v>
      </c>
      <c r="BA415" s="29">
        <f>$AQ$242-AQ198</f>
        <v>21.312979256852795</v>
      </c>
      <c r="BB415" s="29">
        <f>AS198</f>
        <v>16</v>
      </c>
    </row>
    <row r="416" spans="51:54" x14ac:dyDescent="0.25">
      <c r="AY416" s="27">
        <v>155</v>
      </c>
      <c r="AZ416" s="27">
        <v>3</v>
      </c>
      <c r="BA416" s="29">
        <f>$AQ$242-AQ198</f>
        <v>21.312979256852795</v>
      </c>
      <c r="BB416" s="29">
        <f>AT198</f>
        <v>14</v>
      </c>
    </row>
    <row r="417" spans="51:54" x14ac:dyDescent="0.25">
      <c r="AY417" s="27">
        <v>155</v>
      </c>
      <c r="AZ417" s="27">
        <v>4</v>
      </c>
      <c r="BA417" s="29">
        <f>$AQ$242-AW198</f>
        <v>21.83194573628537</v>
      </c>
      <c r="BB417" s="29">
        <f>AT198</f>
        <v>14</v>
      </c>
    </row>
    <row r="418" spans="51:54" x14ac:dyDescent="0.25">
      <c r="AZ418" s="28" t="s">
        <v>159</v>
      </c>
    </row>
    <row r="419" spans="51:54" x14ac:dyDescent="0.25">
      <c r="AY419" s="27">
        <v>156</v>
      </c>
      <c r="AZ419" s="27">
        <v>1</v>
      </c>
      <c r="BA419" s="29">
        <f>$AQ$242-AV199</f>
        <v>22.334220944888109</v>
      </c>
      <c r="BB419" s="29">
        <f>AS199</f>
        <v>52.5</v>
      </c>
    </row>
    <row r="420" spans="51:54" x14ac:dyDescent="0.25">
      <c r="AY420" s="27">
        <v>156</v>
      </c>
      <c r="AZ420" s="27">
        <v>2</v>
      </c>
      <c r="BA420" s="29">
        <f>$AQ$242-AQ199</f>
        <v>21.24353015468871</v>
      </c>
      <c r="BB420" s="29">
        <f>AS199</f>
        <v>52.5</v>
      </c>
    </row>
    <row r="421" spans="51:54" x14ac:dyDescent="0.25">
      <c r="AY421" s="27">
        <v>156</v>
      </c>
      <c r="AZ421" s="27">
        <v>3</v>
      </c>
      <c r="BA421" s="29">
        <f>$AQ$242-AQ199</f>
        <v>21.24353015468871</v>
      </c>
      <c r="BB421" s="29">
        <f>AT199</f>
        <v>51.5</v>
      </c>
    </row>
    <row r="422" spans="51:54" x14ac:dyDescent="0.25">
      <c r="AY422" s="27">
        <v>156</v>
      </c>
      <c r="AZ422" s="27">
        <v>4</v>
      </c>
      <c r="BA422" s="29">
        <f>$AQ$242-AW199</f>
        <v>22.334220944888109</v>
      </c>
      <c r="BB422" s="29">
        <f>AT199</f>
        <v>51.5</v>
      </c>
    </row>
    <row r="423" spans="51:54" x14ac:dyDescent="0.25">
      <c r="AZ423" s="28" t="s">
        <v>159</v>
      </c>
    </row>
    <row r="424" spans="51:54" x14ac:dyDescent="0.25">
      <c r="AY424" s="27">
        <v>157</v>
      </c>
      <c r="AZ424" s="27">
        <v>1</v>
      </c>
      <c r="BA424" s="29">
        <f>$AQ$242-AV200</f>
        <v>22.334220944888109</v>
      </c>
      <c r="BB424" s="29">
        <f>AS200</f>
        <v>79.5</v>
      </c>
    </row>
    <row r="425" spans="51:54" x14ac:dyDescent="0.25">
      <c r="AY425" s="27">
        <v>157</v>
      </c>
      <c r="AZ425" s="27">
        <v>2</v>
      </c>
      <c r="BA425" s="29">
        <f>$AQ$242-AQ200</f>
        <v>21.225700684047613</v>
      </c>
      <c r="BB425" s="29">
        <f>AS200</f>
        <v>79.5</v>
      </c>
    </row>
    <row r="426" spans="51:54" x14ac:dyDescent="0.25">
      <c r="AY426" s="27">
        <v>157</v>
      </c>
      <c r="AZ426" s="27">
        <v>3</v>
      </c>
      <c r="BA426" s="29">
        <f>$AQ$242-AQ200</f>
        <v>21.225700684047613</v>
      </c>
      <c r="BB426" s="29">
        <f>AT200</f>
        <v>78.5</v>
      </c>
    </row>
    <row r="427" spans="51:54" x14ac:dyDescent="0.25">
      <c r="AY427" s="27">
        <v>157</v>
      </c>
      <c r="AZ427" s="27">
        <v>4</v>
      </c>
      <c r="BA427" s="29">
        <f>$AQ$242-AW200</f>
        <v>22.334220944888109</v>
      </c>
      <c r="BB427" s="29">
        <f>AT200</f>
        <v>78.5</v>
      </c>
    </row>
    <row r="428" spans="51:54" x14ac:dyDescent="0.25">
      <c r="AZ428" s="28" t="s">
        <v>159</v>
      </c>
    </row>
    <row r="429" spans="51:54" x14ac:dyDescent="0.25">
      <c r="AY429" s="27">
        <v>158</v>
      </c>
      <c r="AZ429" s="27">
        <v>1</v>
      </c>
      <c r="BA429" s="29">
        <f>$AQ$242-AV201</f>
        <v>22.334220944888109</v>
      </c>
      <c r="BB429" s="29">
        <f>AS201</f>
        <v>61.5</v>
      </c>
    </row>
    <row r="430" spans="51:54" x14ac:dyDescent="0.25">
      <c r="AY430" s="27">
        <v>158</v>
      </c>
      <c r="AZ430" s="27">
        <v>2</v>
      </c>
      <c r="BA430" s="29">
        <f>$AQ$242-AQ201</f>
        <v>21.207390898180154</v>
      </c>
      <c r="BB430" s="29">
        <f>AS201</f>
        <v>61.5</v>
      </c>
    </row>
    <row r="431" spans="51:54" x14ac:dyDescent="0.25">
      <c r="AY431" s="27">
        <v>158</v>
      </c>
      <c r="AZ431" s="27">
        <v>3</v>
      </c>
      <c r="BA431" s="29">
        <f>$AQ$242-AQ201</f>
        <v>21.207390898180154</v>
      </c>
      <c r="BB431" s="29">
        <f>AT201</f>
        <v>60</v>
      </c>
    </row>
    <row r="432" spans="51:54" x14ac:dyDescent="0.25">
      <c r="AY432" s="27">
        <v>158</v>
      </c>
      <c r="AZ432" s="27">
        <v>4</v>
      </c>
      <c r="BA432" s="29">
        <f>$AQ$242-AW201</f>
        <v>21.800757285673775</v>
      </c>
      <c r="BB432" s="29">
        <f>AT201</f>
        <v>60</v>
      </c>
    </row>
    <row r="433" spans="51:54" x14ac:dyDescent="0.25">
      <c r="AZ433" s="28" t="s">
        <v>159</v>
      </c>
    </row>
    <row r="434" spans="51:54" x14ac:dyDescent="0.25">
      <c r="AY434" s="27">
        <v>159</v>
      </c>
      <c r="AZ434" s="27">
        <v>1</v>
      </c>
      <c r="BA434" s="29">
        <f>$AQ$242-AV202</f>
        <v>22.334220944888109</v>
      </c>
      <c r="BB434" s="29">
        <f>AS202</f>
        <v>82.5</v>
      </c>
    </row>
    <row r="435" spans="51:54" x14ac:dyDescent="0.25">
      <c r="AY435" s="27">
        <v>159</v>
      </c>
      <c r="AZ435" s="27">
        <v>2</v>
      </c>
      <c r="BA435" s="29">
        <f>$AQ$242-AQ202</f>
        <v>21.159264319059208</v>
      </c>
      <c r="BB435" s="29">
        <f>AS202</f>
        <v>82.5</v>
      </c>
    </row>
    <row r="436" spans="51:54" x14ac:dyDescent="0.25">
      <c r="AY436" s="27">
        <v>159</v>
      </c>
      <c r="AZ436" s="27">
        <v>3</v>
      </c>
      <c r="BA436" s="29">
        <f>$AQ$242-AQ202</f>
        <v>21.159264319059208</v>
      </c>
      <c r="BB436" s="29">
        <f>AT202</f>
        <v>81.5</v>
      </c>
    </row>
    <row r="437" spans="51:54" x14ac:dyDescent="0.25">
      <c r="AY437" s="27">
        <v>159</v>
      </c>
      <c r="AZ437" s="27">
        <v>4</v>
      </c>
      <c r="BA437" s="29">
        <f>$AQ$242-AW202</f>
        <v>22.334220944888109</v>
      </c>
      <c r="BB437" s="29">
        <f>AT202</f>
        <v>81.5</v>
      </c>
    </row>
    <row r="438" spans="51:54" x14ac:dyDescent="0.25">
      <c r="AZ438" s="28" t="s">
        <v>159</v>
      </c>
    </row>
    <row r="439" spans="51:54" x14ac:dyDescent="0.25">
      <c r="AY439" s="27">
        <v>160</v>
      </c>
      <c r="AZ439" s="27">
        <v>1</v>
      </c>
      <c r="BA439" s="29">
        <f>$AQ$242-AV203</f>
        <v>22.334220944888109</v>
      </c>
      <c r="BB439" s="29">
        <f>AS203</f>
        <v>9.5</v>
      </c>
    </row>
    <row r="440" spans="51:54" x14ac:dyDescent="0.25">
      <c r="AY440" s="27">
        <v>160</v>
      </c>
      <c r="AZ440" s="27">
        <v>2</v>
      </c>
      <c r="BA440" s="29">
        <f>$AQ$242-AQ203</f>
        <v>21.119475186803992</v>
      </c>
      <c r="BB440" s="29">
        <f>AS203</f>
        <v>9.5</v>
      </c>
    </row>
    <row r="441" spans="51:54" x14ac:dyDescent="0.25">
      <c r="AY441" s="27">
        <v>160</v>
      </c>
      <c r="AZ441" s="27">
        <v>3</v>
      </c>
      <c r="BA441" s="29">
        <f>$AQ$242-AQ203</f>
        <v>21.119475186803992</v>
      </c>
      <c r="BB441" s="29">
        <f>AT203</f>
        <v>8.5</v>
      </c>
    </row>
    <row r="442" spans="51:54" x14ac:dyDescent="0.25">
      <c r="AY442" s="27">
        <v>160</v>
      </c>
      <c r="AZ442" s="27">
        <v>4</v>
      </c>
      <c r="BA442" s="29">
        <f>$AQ$242-AW203</f>
        <v>22.334220944888109</v>
      </c>
      <c r="BB442" s="29">
        <f>AT203</f>
        <v>8.5</v>
      </c>
    </row>
    <row r="443" spans="51:54" x14ac:dyDescent="0.25">
      <c r="AZ443" s="28" t="s">
        <v>159</v>
      </c>
    </row>
    <row r="444" spans="51:54" x14ac:dyDescent="0.25">
      <c r="AY444" s="27">
        <v>161</v>
      </c>
      <c r="AZ444" s="27">
        <v>1</v>
      </c>
      <c r="BA444" s="29">
        <f>$AQ$242-AV204</f>
        <v>22.334220944888109</v>
      </c>
      <c r="BB444" s="29">
        <f>AS204</f>
        <v>41.5</v>
      </c>
    </row>
    <row r="445" spans="51:54" x14ac:dyDescent="0.25">
      <c r="AY445" s="27">
        <v>161</v>
      </c>
      <c r="AZ445" s="27">
        <v>2</v>
      </c>
      <c r="BA445" s="29">
        <f>$AQ$242-AQ204</f>
        <v>21.116912182003759</v>
      </c>
      <c r="BB445" s="29">
        <f>AS204</f>
        <v>41.5</v>
      </c>
    </row>
    <row r="446" spans="51:54" x14ac:dyDescent="0.25">
      <c r="AY446" s="27">
        <v>161</v>
      </c>
      <c r="AZ446" s="27">
        <v>3</v>
      </c>
      <c r="BA446" s="29">
        <f>$AQ$242-AQ204</f>
        <v>21.116912182003759</v>
      </c>
      <c r="BB446" s="29">
        <f>AT204</f>
        <v>40</v>
      </c>
    </row>
    <row r="447" spans="51:54" x14ac:dyDescent="0.25">
      <c r="AY447" s="27">
        <v>161</v>
      </c>
      <c r="AZ447" s="27">
        <v>4</v>
      </c>
      <c r="BA447" s="29">
        <f>$AQ$242-AW204</f>
        <v>21.604151360830411</v>
      </c>
      <c r="BB447" s="29">
        <f>AT204</f>
        <v>40</v>
      </c>
    </row>
    <row r="448" spans="51:54" x14ac:dyDescent="0.25">
      <c r="AZ448" s="28" t="s">
        <v>159</v>
      </c>
    </row>
    <row r="449" spans="51:54" x14ac:dyDescent="0.25">
      <c r="AY449" s="27">
        <v>162</v>
      </c>
      <c r="AZ449" s="27">
        <v>1</v>
      </c>
      <c r="BA449" s="29">
        <f>$AQ$242-AV205</f>
        <v>22.334220944888109</v>
      </c>
      <c r="BB449" s="29">
        <f>AS205</f>
        <v>33.5</v>
      </c>
    </row>
    <row r="450" spans="51:54" x14ac:dyDescent="0.25">
      <c r="AY450" s="27">
        <v>162</v>
      </c>
      <c r="AZ450" s="27">
        <v>2</v>
      </c>
      <c r="BA450" s="29">
        <f>$AQ$242-AQ205</f>
        <v>21.042622452517797</v>
      </c>
      <c r="BB450" s="29">
        <f>AS205</f>
        <v>33.5</v>
      </c>
    </row>
    <row r="451" spans="51:54" x14ac:dyDescent="0.25">
      <c r="AY451" s="27">
        <v>162</v>
      </c>
      <c r="AZ451" s="27">
        <v>3</v>
      </c>
      <c r="BA451" s="29">
        <f>$AQ$242-AQ205</f>
        <v>21.042622452517797</v>
      </c>
      <c r="BB451" s="29">
        <f>AT205</f>
        <v>32</v>
      </c>
    </row>
    <row r="452" spans="51:54" x14ac:dyDescent="0.25">
      <c r="AY452" s="27">
        <v>162</v>
      </c>
      <c r="AZ452" s="27">
        <v>4</v>
      </c>
      <c r="BA452" s="29">
        <f>$AQ$242-AW205</f>
        <v>21.86356886595069</v>
      </c>
      <c r="BB452" s="29">
        <f>AT205</f>
        <v>32</v>
      </c>
    </row>
    <row r="453" spans="51:54" x14ac:dyDescent="0.25">
      <c r="AZ453" s="28" t="s">
        <v>159</v>
      </c>
    </row>
    <row r="454" spans="51:54" x14ac:dyDescent="0.25">
      <c r="AY454" s="27">
        <v>163</v>
      </c>
      <c r="AZ454" s="27">
        <v>1</v>
      </c>
      <c r="BA454" s="29">
        <f>$AQ$242-AV206</f>
        <v>22.334220944888109</v>
      </c>
      <c r="BB454" s="29">
        <f>AS206</f>
        <v>22.5</v>
      </c>
    </row>
    <row r="455" spans="51:54" x14ac:dyDescent="0.25">
      <c r="AY455" s="27">
        <v>163</v>
      </c>
      <c r="AZ455" s="27">
        <v>2</v>
      </c>
      <c r="BA455" s="29">
        <f>$AQ$242-AQ206</f>
        <v>20.959733645173397</v>
      </c>
      <c r="BB455" s="29">
        <f>AS206</f>
        <v>22.5</v>
      </c>
    </row>
    <row r="456" spans="51:54" x14ac:dyDescent="0.25">
      <c r="AY456" s="27">
        <v>163</v>
      </c>
      <c r="AZ456" s="27">
        <v>3</v>
      </c>
      <c r="BA456" s="29">
        <f>$AQ$242-AQ206</f>
        <v>20.959733645173397</v>
      </c>
      <c r="BB456" s="29">
        <f>AT206</f>
        <v>20</v>
      </c>
    </row>
    <row r="457" spans="51:54" x14ac:dyDescent="0.25">
      <c r="AY457" s="27">
        <v>163</v>
      </c>
      <c r="AZ457" s="27">
        <v>4</v>
      </c>
      <c r="BA457" s="29">
        <f>$AQ$242-AW206</f>
        <v>21.466995457052281</v>
      </c>
      <c r="BB457" s="29">
        <f>AT206</f>
        <v>20</v>
      </c>
    </row>
    <row r="458" spans="51:54" x14ac:dyDescent="0.25">
      <c r="AZ458" s="28" t="s">
        <v>159</v>
      </c>
    </row>
    <row r="459" spans="51:54" x14ac:dyDescent="0.25">
      <c r="AY459" s="27">
        <v>164</v>
      </c>
      <c r="AZ459" s="27">
        <v>1</v>
      </c>
      <c r="BA459" s="29">
        <f>$AQ$242-AV207</f>
        <v>21.86356886595069</v>
      </c>
      <c r="BB459" s="29">
        <f>AS207</f>
        <v>77</v>
      </c>
    </row>
    <row r="460" spans="51:54" x14ac:dyDescent="0.25">
      <c r="AY460" s="27">
        <v>164</v>
      </c>
      <c r="AZ460" s="27">
        <v>2</v>
      </c>
      <c r="BA460" s="29">
        <f>$AQ$242-AQ207</f>
        <v>20.942854282035036</v>
      </c>
      <c r="BB460" s="29">
        <f>AS207</f>
        <v>77</v>
      </c>
    </row>
    <row r="461" spans="51:54" x14ac:dyDescent="0.25">
      <c r="AY461" s="27">
        <v>164</v>
      </c>
      <c r="AZ461" s="27">
        <v>3</v>
      </c>
      <c r="BA461" s="29">
        <f>$AQ$242-AQ207</f>
        <v>20.942854282035036</v>
      </c>
      <c r="BB461" s="29">
        <f>AT207</f>
        <v>74.625</v>
      </c>
    </row>
    <row r="462" spans="51:54" x14ac:dyDescent="0.25">
      <c r="AY462" s="27">
        <v>164</v>
      </c>
      <c r="AZ462" s="27">
        <v>4</v>
      </c>
      <c r="BA462" s="29">
        <f>$AQ$242-AW207</f>
        <v>21.689182542612013</v>
      </c>
      <c r="BB462" s="29">
        <f>AT207</f>
        <v>74.625</v>
      </c>
    </row>
    <row r="463" spans="51:54" x14ac:dyDescent="0.25">
      <c r="AZ463" s="28" t="s">
        <v>159</v>
      </c>
    </row>
    <row r="464" spans="51:54" x14ac:dyDescent="0.25">
      <c r="AY464" s="27">
        <v>165</v>
      </c>
      <c r="AZ464" s="27">
        <v>1</v>
      </c>
      <c r="BA464" s="29">
        <f>$AQ$242-AV208</f>
        <v>21.776109649394044</v>
      </c>
      <c r="BB464" s="29">
        <f>AS208</f>
        <v>30</v>
      </c>
    </row>
    <row r="465" spans="51:54" x14ac:dyDescent="0.25">
      <c r="AY465" s="27">
        <v>165</v>
      </c>
      <c r="AZ465" s="27">
        <v>2</v>
      </c>
      <c r="BA465" s="29">
        <f>$AQ$242-AQ208</f>
        <v>20.924582399924276</v>
      </c>
      <c r="BB465" s="29">
        <f>AS208</f>
        <v>30</v>
      </c>
    </row>
    <row r="466" spans="51:54" x14ac:dyDescent="0.25">
      <c r="AY466" s="27">
        <v>165</v>
      </c>
      <c r="AZ466" s="27">
        <v>3</v>
      </c>
      <c r="BA466" s="29">
        <f>$AQ$242-AQ208</f>
        <v>20.924582399924276</v>
      </c>
      <c r="BB466" s="29">
        <f>AT208</f>
        <v>27.625</v>
      </c>
    </row>
    <row r="467" spans="51:54" x14ac:dyDescent="0.25">
      <c r="AY467" s="27">
        <v>165</v>
      </c>
      <c r="AZ467" s="27">
        <v>4</v>
      </c>
      <c r="BA467" s="29">
        <f>$AQ$242-AW208</f>
        <v>21.326805571230928</v>
      </c>
      <c r="BB467" s="29">
        <f>AT208</f>
        <v>27.625</v>
      </c>
    </row>
    <row r="468" spans="51:54" x14ac:dyDescent="0.25">
      <c r="AZ468" s="28" t="s">
        <v>159</v>
      </c>
    </row>
    <row r="469" spans="51:54" x14ac:dyDescent="0.25">
      <c r="AY469" s="27">
        <v>166</v>
      </c>
      <c r="AZ469" s="27">
        <v>1</v>
      </c>
      <c r="BA469" s="29">
        <f>$AQ$242-AV209</f>
        <v>22.334220944888109</v>
      </c>
      <c r="BB469" s="29">
        <f>AS209</f>
        <v>58</v>
      </c>
    </row>
    <row r="470" spans="51:54" x14ac:dyDescent="0.25">
      <c r="AY470" s="27">
        <v>166</v>
      </c>
      <c r="AZ470" s="27">
        <v>2</v>
      </c>
      <c r="BA470" s="29">
        <f>$AQ$242-AQ209</f>
        <v>20.875958814022084</v>
      </c>
      <c r="BB470" s="29">
        <f>AS209</f>
        <v>58</v>
      </c>
    </row>
    <row r="471" spans="51:54" x14ac:dyDescent="0.25">
      <c r="AY471" s="27">
        <v>166</v>
      </c>
      <c r="AZ471" s="27">
        <v>3</v>
      </c>
      <c r="BA471" s="29">
        <f>$AQ$242-AQ209</f>
        <v>20.875958814022084</v>
      </c>
      <c r="BB471" s="29">
        <f>AT209</f>
        <v>55.75</v>
      </c>
    </row>
    <row r="472" spans="51:54" x14ac:dyDescent="0.25">
      <c r="AY472" s="27">
        <v>166</v>
      </c>
      <c r="AZ472" s="27">
        <v>4</v>
      </c>
      <c r="BA472" s="29">
        <f>$AQ$242-AW209</f>
        <v>21.519027631480579</v>
      </c>
      <c r="BB472" s="29">
        <f>AT209</f>
        <v>55.75</v>
      </c>
    </row>
    <row r="473" spans="51:54" x14ac:dyDescent="0.25">
      <c r="AZ473" s="28" t="s">
        <v>159</v>
      </c>
    </row>
    <row r="474" spans="51:54" x14ac:dyDescent="0.25">
      <c r="AY474" s="27">
        <v>167</v>
      </c>
      <c r="AZ474" s="27">
        <v>1</v>
      </c>
      <c r="BA474" s="29">
        <f>$AQ$242-AV210</f>
        <v>22.334220944888109</v>
      </c>
      <c r="BB474" s="29">
        <f>AS210</f>
        <v>53.5</v>
      </c>
    </row>
    <row r="475" spans="51:54" x14ac:dyDescent="0.25">
      <c r="AY475" s="27">
        <v>167</v>
      </c>
      <c r="AZ475" s="27">
        <v>2</v>
      </c>
      <c r="BA475" s="29">
        <f>$AQ$242-AQ210</f>
        <v>20.805551776845263</v>
      </c>
      <c r="BB475" s="29">
        <f>AS210</f>
        <v>53.5</v>
      </c>
    </row>
    <row r="476" spans="51:54" x14ac:dyDescent="0.25">
      <c r="AY476" s="27">
        <v>167</v>
      </c>
      <c r="AZ476" s="27">
        <v>3</v>
      </c>
      <c r="BA476" s="29">
        <f>$AQ$242-AQ210</f>
        <v>20.805551776845263</v>
      </c>
      <c r="BB476" s="29">
        <f>AT210</f>
        <v>52</v>
      </c>
    </row>
    <row r="477" spans="51:54" x14ac:dyDescent="0.25">
      <c r="AY477" s="27">
        <v>167</v>
      </c>
      <c r="AZ477" s="27">
        <v>4</v>
      </c>
      <c r="BA477" s="29">
        <f>$AQ$242-AW210</f>
        <v>21.24353015468871</v>
      </c>
      <c r="BB477" s="29">
        <f>AT210</f>
        <v>52</v>
      </c>
    </row>
    <row r="478" spans="51:54" x14ac:dyDescent="0.25">
      <c r="AZ478" s="28" t="s">
        <v>159</v>
      </c>
    </row>
    <row r="479" spans="51:54" x14ac:dyDescent="0.25">
      <c r="AY479" s="27">
        <v>168</v>
      </c>
      <c r="AZ479" s="27">
        <v>1</v>
      </c>
      <c r="BA479" s="29">
        <f>$AQ$242-AV211</f>
        <v>22.334220944888109</v>
      </c>
      <c r="BB479" s="29">
        <f>AS211</f>
        <v>49.5</v>
      </c>
    </row>
    <row r="480" spans="51:54" x14ac:dyDescent="0.25">
      <c r="AY480" s="27">
        <v>168</v>
      </c>
      <c r="AZ480" s="27">
        <v>2</v>
      </c>
      <c r="BA480" s="29">
        <f>$AQ$242-AQ211</f>
        <v>20.801016944070568</v>
      </c>
      <c r="BB480" s="29">
        <f>AS211</f>
        <v>49.5</v>
      </c>
    </row>
    <row r="481" spans="51:54" x14ac:dyDescent="0.25">
      <c r="AY481" s="27">
        <v>168</v>
      </c>
      <c r="AZ481" s="27">
        <v>3</v>
      </c>
      <c r="BA481" s="29">
        <f>$AQ$242-AQ211</f>
        <v>20.801016944070568</v>
      </c>
      <c r="BB481" s="29">
        <f>AT211</f>
        <v>48.5</v>
      </c>
    </row>
    <row r="482" spans="51:54" x14ac:dyDescent="0.25">
      <c r="AY482" s="27">
        <v>168</v>
      </c>
      <c r="AZ482" s="27">
        <v>4</v>
      </c>
      <c r="BA482" s="29">
        <f>$AQ$242-AW211</f>
        <v>22.334220944888109</v>
      </c>
      <c r="BB482" s="29">
        <f>AT211</f>
        <v>48.5</v>
      </c>
    </row>
    <row r="483" spans="51:54" x14ac:dyDescent="0.25">
      <c r="AZ483" s="28" t="s">
        <v>159</v>
      </c>
    </row>
    <row r="484" spans="51:54" x14ac:dyDescent="0.25">
      <c r="AY484" s="27">
        <v>169</v>
      </c>
      <c r="AZ484" s="27">
        <v>1</v>
      </c>
      <c r="BA484" s="29">
        <f>$AQ$242-AV212</f>
        <v>22.334220944888109</v>
      </c>
      <c r="BB484" s="29">
        <f>AS212</f>
        <v>17.5</v>
      </c>
    </row>
    <row r="485" spans="51:54" x14ac:dyDescent="0.25">
      <c r="AY485" s="27">
        <v>169</v>
      </c>
      <c r="AZ485" s="27">
        <v>2</v>
      </c>
      <c r="BA485" s="29">
        <f>$AQ$242-AQ212</f>
        <v>20.762704194053047</v>
      </c>
      <c r="BB485" s="29">
        <f>AS212</f>
        <v>17.5</v>
      </c>
    </row>
    <row r="486" spans="51:54" x14ac:dyDescent="0.25">
      <c r="AY486" s="27">
        <v>169</v>
      </c>
      <c r="AZ486" s="27">
        <v>3</v>
      </c>
      <c r="BA486" s="29">
        <f>$AQ$242-AQ212</f>
        <v>20.762704194053047</v>
      </c>
      <c r="BB486" s="29">
        <f>AT212</f>
        <v>15</v>
      </c>
    </row>
    <row r="487" spans="51:54" x14ac:dyDescent="0.25">
      <c r="AY487" s="27">
        <v>169</v>
      </c>
      <c r="AZ487" s="27">
        <v>4</v>
      </c>
      <c r="BA487" s="29">
        <f>$AQ$242-AW212</f>
        <v>21.312979256852795</v>
      </c>
      <c r="BB487" s="29">
        <f>AT212</f>
        <v>15</v>
      </c>
    </row>
    <row r="488" spans="51:54" x14ac:dyDescent="0.25">
      <c r="AZ488" s="28" t="s">
        <v>159</v>
      </c>
    </row>
    <row r="489" spans="51:54" x14ac:dyDescent="0.25">
      <c r="AY489" s="27">
        <v>170</v>
      </c>
      <c r="AZ489" s="27">
        <v>1</v>
      </c>
      <c r="BA489" s="29">
        <f>$AQ$242-AV213</f>
        <v>21.403013116450747</v>
      </c>
      <c r="BB489" s="29">
        <f>AS213</f>
        <v>84</v>
      </c>
    </row>
    <row r="490" spans="51:54" x14ac:dyDescent="0.25">
      <c r="AY490" s="27">
        <v>170</v>
      </c>
      <c r="AZ490" s="27">
        <v>2</v>
      </c>
      <c r="BA490" s="29">
        <f>$AQ$242-AQ213</f>
        <v>20.715238935704214</v>
      </c>
      <c r="BB490" s="29">
        <f>AS213</f>
        <v>84</v>
      </c>
    </row>
    <row r="491" spans="51:54" x14ac:dyDescent="0.25">
      <c r="AY491" s="27">
        <v>170</v>
      </c>
      <c r="AZ491" s="27">
        <v>3</v>
      </c>
      <c r="BA491" s="29">
        <f>$AQ$242-AQ213</f>
        <v>20.715238935704214</v>
      </c>
      <c r="BB491" s="29">
        <f>AT213</f>
        <v>82</v>
      </c>
    </row>
    <row r="492" spans="51:54" x14ac:dyDescent="0.25">
      <c r="AY492" s="27">
        <v>170</v>
      </c>
      <c r="AZ492" s="27">
        <v>4</v>
      </c>
      <c r="BA492" s="29">
        <f>$AQ$242-AW213</f>
        <v>21.159264319059208</v>
      </c>
      <c r="BB492" s="29">
        <f>AT213</f>
        <v>82</v>
      </c>
    </row>
    <row r="493" spans="51:54" x14ac:dyDescent="0.25">
      <c r="AZ493" s="28" t="s">
        <v>159</v>
      </c>
    </row>
    <row r="494" spans="51:54" x14ac:dyDescent="0.25">
      <c r="AY494" s="27">
        <v>171</v>
      </c>
      <c r="AZ494" s="27">
        <v>1</v>
      </c>
      <c r="BA494" s="29">
        <f>$AQ$242-AV214</f>
        <v>22.334220944888109</v>
      </c>
      <c r="BB494" s="29">
        <f>AS214</f>
        <v>12.5</v>
      </c>
    </row>
    <row r="495" spans="51:54" x14ac:dyDescent="0.25">
      <c r="AY495" s="27">
        <v>171</v>
      </c>
      <c r="AZ495" s="27">
        <v>2</v>
      </c>
      <c r="BA495" s="29">
        <f>$AQ$242-AQ214</f>
        <v>20.649019852172025</v>
      </c>
      <c r="BB495" s="29">
        <f>AS214</f>
        <v>12.5</v>
      </c>
    </row>
    <row r="496" spans="51:54" x14ac:dyDescent="0.25">
      <c r="AY496" s="27">
        <v>171</v>
      </c>
      <c r="AZ496" s="27">
        <v>3</v>
      </c>
      <c r="BA496" s="29">
        <f>$AQ$242-AQ214</f>
        <v>20.649019852172025</v>
      </c>
      <c r="BB496" s="29">
        <f>AT214</f>
        <v>11</v>
      </c>
    </row>
    <row r="497" spans="51:54" x14ac:dyDescent="0.25">
      <c r="AY497" s="27">
        <v>171</v>
      </c>
      <c r="AZ497" s="27">
        <v>4</v>
      </c>
      <c r="BA497" s="29">
        <f>$AQ$242-AW214</f>
        <v>21.792975968185917</v>
      </c>
      <c r="BB497" s="29">
        <f>AT214</f>
        <v>11</v>
      </c>
    </row>
    <row r="498" spans="51:54" x14ac:dyDescent="0.25">
      <c r="AZ498" s="28" t="s">
        <v>159</v>
      </c>
    </row>
    <row r="499" spans="51:54" x14ac:dyDescent="0.25">
      <c r="AY499" s="27">
        <v>172</v>
      </c>
      <c r="AZ499" s="27">
        <v>1</v>
      </c>
      <c r="BA499" s="29">
        <f>$AQ$242-AV215</f>
        <v>21.800757285673775</v>
      </c>
      <c r="BB499" s="29">
        <f>AS215</f>
        <v>35</v>
      </c>
    </row>
    <row r="500" spans="51:54" x14ac:dyDescent="0.25">
      <c r="AY500" s="27">
        <v>172</v>
      </c>
      <c r="AZ500" s="27">
        <v>2</v>
      </c>
      <c r="BA500" s="29">
        <f>$AQ$242-AQ215</f>
        <v>20.64530494927255</v>
      </c>
      <c r="BB500" s="29">
        <f>AS215</f>
        <v>35</v>
      </c>
    </row>
    <row r="501" spans="51:54" x14ac:dyDescent="0.25">
      <c r="AY501" s="27">
        <v>172</v>
      </c>
      <c r="AZ501" s="27">
        <v>3</v>
      </c>
      <c r="BA501" s="29">
        <f>$AQ$242-AQ215</f>
        <v>20.64530494927255</v>
      </c>
      <c r="BB501" s="29">
        <f>AT215</f>
        <v>32.75</v>
      </c>
    </row>
    <row r="502" spans="51:54" x14ac:dyDescent="0.25">
      <c r="AY502" s="27">
        <v>172</v>
      </c>
      <c r="AZ502" s="27">
        <v>4</v>
      </c>
      <c r="BA502" s="29">
        <f>$AQ$242-AW215</f>
        <v>21.042622452517797</v>
      </c>
      <c r="BB502" s="29">
        <f>AT215</f>
        <v>32.75</v>
      </c>
    </row>
    <row r="503" spans="51:54" x14ac:dyDescent="0.25">
      <c r="AZ503" s="28" t="s">
        <v>159</v>
      </c>
    </row>
    <row r="504" spans="51:54" x14ac:dyDescent="0.25">
      <c r="AY504" s="27">
        <v>173</v>
      </c>
      <c r="AZ504" s="27">
        <v>1</v>
      </c>
      <c r="BA504" s="29">
        <f>$AQ$242-AV216</f>
        <v>21.86356886595069</v>
      </c>
      <c r="BB504" s="29">
        <f>AS216</f>
        <v>24</v>
      </c>
    </row>
    <row r="505" spans="51:54" x14ac:dyDescent="0.25">
      <c r="AY505" s="27">
        <v>173</v>
      </c>
      <c r="AZ505" s="27">
        <v>2</v>
      </c>
      <c r="BA505" s="29">
        <f>$AQ$242-AQ216</f>
        <v>20.616517718400168</v>
      </c>
      <c r="BB505" s="29">
        <f>AS216</f>
        <v>24</v>
      </c>
    </row>
    <row r="506" spans="51:54" x14ac:dyDescent="0.25">
      <c r="AY506" s="27">
        <v>173</v>
      </c>
      <c r="AZ506" s="27">
        <v>3</v>
      </c>
      <c r="BA506" s="29">
        <f>$AQ$242-AQ216</f>
        <v>20.616517718400168</v>
      </c>
      <c r="BB506" s="29">
        <f>AT216</f>
        <v>21.25</v>
      </c>
    </row>
    <row r="507" spans="51:54" x14ac:dyDescent="0.25">
      <c r="AY507" s="27">
        <v>173</v>
      </c>
      <c r="AZ507" s="27">
        <v>4</v>
      </c>
      <c r="BA507" s="29">
        <f>$AQ$242-AW216</f>
        <v>20.959733645173397</v>
      </c>
      <c r="BB507" s="29">
        <f>AT216</f>
        <v>21.25</v>
      </c>
    </row>
    <row r="508" spans="51:54" x14ac:dyDescent="0.25">
      <c r="AZ508" s="28" t="s">
        <v>159</v>
      </c>
    </row>
    <row r="509" spans="51:54" x14ac:dyDescent="0.25">
      <c r="AY509" s="27">
        <v>174</v>
      </c>
      <c r="AZ509" s="27">
        <v>1</v>
      </c>
      <c r="BA509" s="29">
        <f>$AQ$242-AV217</f>
        <v>21.738887922913865</v>
      </c>
      <c r="BB509" s="29">
        <f>AS217</f>
        <v>70.5625</v>
      </c>
    </row>
    <row r="510" spans="51:54" x14ac:dyDescent="0.25">
      <c r="AY510" s="27">
        <v>174</v>
      </c>
      <c r="AZ510" s="27">
        <v>2</v>
      </c>
      <c r="BA510" s="29">
        <f>$AQ$242-AQ217</f>
        <v>20.424263048447568</v>
      </c>
      <c r="BB510" s="29">
        <f>AS217</f>
        <v>70.5625</v>
      </c>
    </row>
    <row r="511" spans="51:54" x14ac:dyDescent="0.25">
      <c r="AY511" s="27">
        <v>174</v>
      </c>
      <c r="AZ511" s="27">
        <v>3</v>
      </c>
      <c r="BA511" s="29">
        <f>$AQ$242-AQ217</f>
        <v>20.424263048447568</v>
      </c>
      <c r="BB511" s="29">
        <f>AT217</f>
        <v>64.375</v>
      </c>
    </row>
    <row r="512" spans="51:54" x14ac:dyDescent="0.25">
      <c r="AY512" s="27">
        <v>174</v>
      </c>
      <c r="AZ512" s="27">
        <v>4</v>
      </c>
      <c r="BA512" s="29">
        <f>$AQ$242-AW217</f>
        <v>21.605089879455097</v>
      </c>
      <c r="BB512" s="29">
        <f>AT217</f>
        <v>64.375</v>
      </c>
    </row>
    <row r="513" spans="51:54" x14ac:dyDescent="0.25">
      <c r="AZ513" s="28" t="s">
        <v>159</v>
      </c>
    </row>
    <row r="514" spans="51:54" x14ac:dyDescent="0.25">
      <c r="AY514" s="27">
        <v>175</v>
      </c>
      <c r="AZ514" s="27">
        <v>1</v>
      </c>
      <c r="BA514" s="29">
        <f>$AQ$242-AV218</f>
        <v>22.334220944888109</v>
      </c>
      <c r="BB514" s="29">
        <f>AS218</f>
        <v>80.5</v>
      </c>
    </row>
    <row r="515" spans="51:54" x14ac:dyDescent="0.25">
      <c r="AY515" s="27">
        <v>175</v>
      </c>
      <c r="AZ515" s="27">
        <v>2</v>
      </c>
      <c r="BA515" s="29">
        <f>$AQ$242-AQ218</f>
        <v>20.284841565764197</v>
      </c>
      <c r="BB515" s="29">
        <f>AS218</f>
        <v>80.5</v>
      </c>
    </row>
    <row r="516" spans="51:54" x14ac:dyDescent="0.25">
      <c r="AY516" s="27">
        <v>175</v>
      </c>
      <c r="AZ516" s="27">
        <v>3</v>
      </c>
      <c r="BA516" s="29">
        <f>$AQ$242-AQ218</f>
        <v>20.284841565764197</v>
      </c>
      <c r="BB516" s="29">
        <f>AT218</f>
        <v>79</v>
      </c>
    </row>
    <row r="517" spans="51:54" x14ac:dyDescent="0.25">
      <c r="AY517" s="27">
        <v>175</v>
      </c>
      <c r="AZ517" s="27">
        <v>4</v>
      </c>
      <c r="BA517" s="29">
        <f>$AQ$242-AW218</f>
        <v>21.225700684047613</v>
      </c>
      <c r="BB517" s="29">
        <f>AT218</f>
        <v>79</v>
      </c>
    </row>
    <row r="518" spans="51:54" x14ac:dyDescent="0.25">
      <c r="AZ518" s="28" t="s">
        <v>159</v>
      </c>
    </row>
    <row r="519" spans="51:54" x14ac:dyDescent="0.25">
      <c r="AY519" s="27">
        <v>176</v>
      </c>
      <c r="AZ519" s="27">
        <v>1</v>
      </c>
      <c r="BA519" s="29">
        <f>$AQ$242-AV219</f>
        <v>21.738887922913865</v>
      </c>
      <c r="BB519" s="29">
        <f>AS219</f>
        <v>93.5625</v>
      </c>
    </row>
    <row r="520" spans="51:54" x14ac:dyDescent="0.25">
      <c r="AY520" s="27">
        <v>176</v>
      </c>
      <c r="AZ520" s="27">
        <v>2</v>
      </c>
      <c r="BA520" s="29">
        <f>$AQ$242-AQ219</f>
        <v>20.282437391163043</v>
      </c>
      <c r="BB520" s="29">
        <f>AS219</f>
        <v>93.5625</v>
      </c>
    </row>
    <row r="521" spans="51:54" x14ac:dyDescent="0.25">
      <c r="AY521" s="27">
        <v>176</v>
      </c>
      <c r="AZ521" s="27">
        <v>3</v>
      </c>
      <c r="BA521" s="29">
        <f>$AQ$242-AQ219</f>
        <v>20.282437391163043</v>
      </c>
      <c r="BB521" s="29">
        <f>AT219</f>
        <v>87.375</v>
      </c>
    </row>
    <row r="522" spans="51:54" x14ac:dyDescent="0.25">
      <c r="AY522" s="27">
        <v>176</v>
      </c>
      <c r="AZ522" s="27">
        <v>4</v>
      </c>
      <c r="BA522" s="29">
        <f>$AQ$242-AW219</f>
        <v>21.605089879455097</v>
      </c>
      <c r="BB522" s="29">
        <f>AT219</f>
        <v>87.375</v>
      </c>
    </row>
    <row r="523" spans="51:54" x14ac:dyDescent="0.25">
      <c r="AZ523" s="28" t="s">
        <v>159</v>
      </c>
    </row>
    <row r="524" spans="51:54" x14ac:dyDescent="0.25">
      <c r="AY524" s="27">
        <v>177</v>
      </c>
      <c r="AZ524" s="27">
        <v>1</v>
      </c>
      <c r="BA524" s="29">
        <f>$AQ$242-AV220</f>
        <v>21.718230170387553</v>
      </c>
      <c r="BB524" s="29">
        <f>AS220</f>
        <v>37.75</v>
      </c>
    </row>
    <row r="525" spans="51:54" x14ac:dyDescent="0.25">
      <c r="AY525" s="27">
        <v>177</v>
      </c>
      <c r="AZ525" s="27">
        <v>2</v>
      </c>
      <c r="BA525" s="29">
        <f>$AQ$242-AQ220</f>
        <v>20.27493861564264</v>
      </c>
      <c r="BB525" s="29">
        <f>AS220</f>
        <v>37.75</v>
      </c>
    </row>
    <row r="526" spans="51:54" x14ac:dyDescent="0.25">
      <c r="AY526" s="27">
        <v>177</v>
      </c>
      <c r="AZ526" s="27">
        <v>3</v>
      </c>
      <c r="BA526" s="29">
        <f>$AQ$242-AQ220</f>
        <v>20.27493861564264</v>
      </c>
      <c r="BB526" s="29">
        <f>AT220</f>
        <v>33.875</v>
      </c>
    </row>
    <row r="527" spans="51:54" x14ac:dyDescent="0.25">
      <c r="AY527" s="27">
        <v>177</v>
      </c>
      <c r="AZ527" s="27">
        <v>4</v>
      </c>
      <c r="BA527" s="29">
        <f>$AQ$242-AW220</f>
        <v>20.64530494927255</v>
      </c>
      <c r="BB527" s="29">
        <f>AT220</f>
        <v>33.875</v>
      </c>
    </row>
    <row r="528" spans="51:54" x14ac:dyDescent="0.25">
      <c r="AZ528" s="28" t="s">
        <v>159</v>
      </c>
    </row>
    <row r="529" spans="51:54" x14ac:dyDescent="0.25">
      <c r="AY529" s="27">
        <v>178</v>
      </c>
      <c r="AZ529" s="27">
        <v>1</v>
      </c>
      <c r="BA529" s="29">
        <f>$AQ$242-AV221</f>
        <v>21.207390898180154</v>
      </c>
      <c r="BB529" s="29">
        <f>AS221</f>
        <v>60.75</v>
      </c>
    </row>
    <row r="530" spans="51:54" x14ac:dyDescent="0.25">
      <c r="AY530" s="27">
        <v>178</v>
      </c>
      <c r="AZ530" s="27">
        <v>2</v>
      </c>
      <c r="BA530" s="29">
        <f>$AQ$242-AQ221</f>
        <v>20.152110148323409</v>
      </c>
      <c r="BB530" s="29">
        <f>AS221</f>
        <v>60.75</v>
      </c>
    </row>
    <row r="531" spans="51:54" x14ac:dyDescent="0.25">
      <c r="AY531" s="27">
        <v>178</v>
      </c>
      <c r="AZ531" s="27">
        <v>3</v>
      </c>
      <c r="BA531" s="29">
        <f>$AQ$242-AQ221</f>
        <v>20.152110148323409</v>
      </c>
      <c r="BB531" s="29">
        <f>AT221</f>
        <v>56.875</v>
      </c>
    </row>
    <row r="532" spans="51:54" x14ac:dyDescent="0.25">
      <c r="AY532" s="27">
        <v>178</v>
      </c>
      <c r="AZ532" s="27">
        <v>4</v>
      </c>
      <c r="BA532" s="29">
        <f>$AQ$242-AW221</f>
        <v>20.875958814022084</v>
      </c>
      <c r="BB532" s="29">
        <f>AT221</f>
        <v>56.875</v>
      </c>
    </row>
    <row r="533" spans="51:54" x14ac:dyDescent="0.25">
      <c r="AZ533" s="28" t="s">
        <v>159</v>
      </c>
    </row>
    <row r="534" spans="51:54" x14ac:dyDescent="0.25">
      <c r="AY534" s="27">
        <v>179</v>
      </c>
      <c r="AZ534" s="27">
        <v>1</v>
      </c>
      <c r="BA534" s="29">
        <f>$AQ$242-AV222</f>
        <v>21.565649318370248</v>
      </c>
      <c r="BB534" s="29">
        <f>AS222</f>
        <v>6.625</v>
      </c>
    </row>
    <row r="535" spans="51:54" x14ac:dyDescent="0.25">
      <c r="AY535" s="27">
        <v>179</v>
      </c>
      <c r="AZ535" s="27">
        <v>2</v>
      </c>
      <c r="BA535" s="29">
        <f>$AQ$242-AQ222</f>
        <v>20.094494285337671</v>
      </c>
      <c r="BB535" s="29">
        <f>AS222</f>
        <v>6.625</v>
      </c>
    </row>
    <row r="536" spans="51:54" x14ac:dyDescent="0.25">
      <c r="AY536" s="27">
        <v>179</v>
      </c>
      <c r="AZ536" s="27">
        <v>3</v>
      </c>
      <c r="BA536" s="29">
        <f>$AQ$242-AQ222</f>
        <v>20.094494285337671</v>
      </c>
      <c r="BB536" s="29">
        <f>AT222</f>
        <v>2.625</v>
      </c>
    </row>
    <row r="537" spans="51:54" x14ac:dyDescent="0.25">
      <c r="AY537" s="27">
        <v>179</v>
      </c>
      <c r="AZ537" s="27">
        <v>4</v>
      </c>
      <c r="BA537" s="29">
        <f>$AQ$242-AW222</f>
        <v>21.565649318370248</v>
      </c>
      <c r="BB537" s="29">
        <f>AT222</f>
        <v>2.625</v>
      </c>
    </row>
    <row r="538" spans="51:54" x14ac:dyDescent="0.25">
      <c r="AZ538" s="28" t="s">
        <v>159</v>
      </c>
    </row>
    <row r="539" spans="51:54" x14ac:dyDescent="0.25">
      <c r="AY539" s="27">
        <v>180</v>
      </c>
      <c r="AZ539" s="27">
        <v>1</v>
      </c>
      <c r="BA539" s="29">
        <f>$AQ$242-AV223</f>
        <v>22.334220944888109</v>
      </c>
      <c r="BB539" s="29">
        <f>AS223</f>
        <v>50.5</v>
      </c>
    </row>
    <row r="540" spans="51:54" x14ac:dyDescent="0.25">
      <c r="AY540" s="27">
        <v>180</v>
      </c>
      <c r="AZ540" s="27">
        <v>2</v>
      </c>
      <c r="BA540" s="29">
        <f>$AQ$242-AQ223</f>
        <v>20.002132545034801</v>
      </c>
      <c r="BB540" s="29">
        <f>AS223</f>
        <v>50.5</v>
      </c>
    </row>
    <row r="541" spans="51:54" x14ac:dyDescent="0.25">
      <c r="AY541" s="27">
        <v>180</v>
      </c>
      <c r="AZ541" s="27">
        <v>3</v>
      </c>
      <c r="BA541" s="29">
        <f>$AQ$242-AQ223</f>
        <v>20.002132545034801</v>
      </c>
      <c r="BB541" s="29">
        <f>AT223</f>
        <v>49</v>
      </c>
    </row>
    <row r="542" spans="51:54" x14ac:dyDescent="0.25">
      <c r="AY542" s="27">
        <v>180</v>
      </c>
      <c r="AZ542" s="27">
        <v>4</v>
      </c>
      <c r="BA542" s="29">
        <f>$AQ$242-AW223</f>
        <v>20.801016944070568</v>
      </c>
      <c r="BB542" s="29">
        <f>AT223</f>
        <v>49</v>
      </c>
    </row>
    <row r="543" spans="51:54" x14ac:dyDescent="0.25">
      <c r="AZ543" s="28" t="s">
        <v>159</v>
      </c>
    </row>
    <row r="544" spans="51:54" x14ac:dyDescent="0.25">
      <c r="AY544" s="27">
        <v>181</v>
      </c>
      <c r="AZ544" s="27">
        <v>1</v>
      </c>
      <c r="BA544" s="29">
        <f>$AQ$242-AV224</f>
        <v>22.334220944888109</v>
      </c>
      <c r="BB544" s="29">
        <f>AS224</f>
        <v>42.5</v>
      </c>
    </row>
    <row r="545" spans="51:54" x14ac:dyDescent="0.25">
      <c r="AY545" s="27">
        <v>181</v>
      </c>
      <c r="AZ545" s="27">
        <v>2</v>
      </c>
      <c r="BA545" s="29">
        <f>$AQ$242-AQ224</f>
        <v>19.903700966488302</v>
      </c>
      <c r="BB545" s="29">
        <f>AS224</f>
        <v>42.5</v>
      </c>
    </row>
    <row r="546" spans="51:54" x14ac:dyDescent="0.25">
      <c r="AY546" s="27">
        <v>181</v>
      </c>
      <c r="AZ546" s="27">
        <v>3</v>
      </c>
      <c r="BA546" s="29">
        <f>$AQ$242-AQ224</f>
        <v>19.903700966488302</v>
      </c>
      <c r="BB546" s="29">
        <f>AT224</f>
        <v>40.75</v>
      </c>
    </row>
    <row r="547" spans="51:54" x14ac:dyDescent="0.25">
      <c r="AY547" s="27">
        <v>181</v>
      </c>
      <c r="AZ547" s="27">
        <v>4</v>
      </c>
      <c r="BA547" s="29">
        <f>$AQ$242-AW224</f>
        <v>21.116912182003759</v>
      </c>
      <c r="BB547" s="29">
        <f>AT224</f>
        <v>40.75</v>
      </c>
    </row>
    <row r="548" spans="51:54" x14ac:dyDescent="0.25">
      <c r="AZ548" s="28" t="s">
        <v>159</v>
      </c>
    </row>
    <row r="549" spans="51:54" x14ac:dyDescent="0.25">
      <c r="AY549" s="27">
        <v>182</v>
      </c>
      <c r="AZ549" s="27">
        <v>1</v>
      </c>
      <c r="BA549" s="29">
        <f>$AQ$242-AV225</f>
        <v>20.924582399924276</v>
      </c>
      <c r="BB549" s="29">
        <f>AS225</f>
        <v>28.8125</v>
      </c>
    </row>
    <row r="550" spans="51:54" x14ac:dyDescent="0.25">
      <c r="AY550" s="27">
        <v>182</v>
      </c>
      <c r="AZ550" s="27">
        <v>2</v>
      </c>
      <c r="BA550" s="29">
        <f>$AQ$242-AQ225</f>
        <v>19.67532862725766</v>
      </c>
      <c r="BB550" s="29">
        <f>AS225</f>
        <v>28.8125</v>
      </c>
    </row>
    <row r="551" spans="51:54" x14ac:dyDescent="0.25">
      <c r="AY551" s="27">
        <v>182</v>
      </c>
      <c r="AZ551" s="27">
        <v>3</v>
      </c>
      <c r="BA551" s="29">
        <f>$AQ$242-AQ225</f>
        <v>19.67532862725766</v>
      </c>
      <c r="BB551" s="29">
        <f>AT225</f>
        <v>22.625</v>
      </c>
    </row>
    <row r="552" spans="51:54" x14ac:dyDescent="0.25">
      <c r="AY552" s="27">
        <v>182</v>
      </c>
      <c r="AZ552" s="27">
        <v>4</v>
      </c>
      <c r="BA552" s="29">
        <f>$AQ$242-AW225</f>
        <v>20.616517718400168</v>
      </c>
      <c r="BB552" s="29">
        <f>AT225</f>
        <v>22.625</v>
      </c>
    </row>
    <row r="553" spans="51:54" x14ac:dyDescent="0.25">
      <c r="AZ553" s="28" t="s">
        <v>159</v>
      </c>
    </row>
    <row r="554" spans="51:54" x14ac:dyDescent="0.25">
      <c r="AY554" s="27">
        <v>183</v>
      </c>
      <c r="AZ554" s="27">
        <v>1</v>
      </c>
      <c r="BA554" s="29">
        <f>$AQ$242-AV226</f>
        <v>21.451405954401526</v>
      </c>
      <c r="BB554" s="29">
        <f>AS226</f>
        <v>44.75</v>
      </c>
    </row>
    <row r="555" spans="51:54" x14ac:dyDescent="0.25">
      <c r="AY555" s="27">
        <v>183</v>
      </c>
      <c r="AZ555" s="27">
        <v>2</v>
      </c>
      <c r="BA555" s="29">
        <f>$AQ$242-AQ226</f>
        <v>19.5533035658983</v>
      </c>
      <c r="BB555" s="29">
        <f>AS226</f>
        <v>44.75</v>
      </c>
    </row>
    <row r="556" spans="51:54" x14ac:dyDescent="0.25">
      <c r="AY556" s="27">
        <v>183</v>
      </c>
      <c r="AZ556" s="27">
        <v>3</v>
      </c>
      <c r="BA556" s="29">
        <f>$AQ$242-AQ226</f>
        <v>19.5533035658983</v>
      </c>
      <c r="BB556" s="29">
        <f>AT226</f>
        <v>41.625</v>
      </c>
    </row>
    <row r="557" spans="51:54" x14ac:dyDescent="0.25">
      <c r="AY557" s="27">
        <v>183</v>
      </c>
      <c r="AZ557" s="27">
        <v>4</v>
      </c>
      <c r="BA557" s="29">
        <f>$AQ$242-AW226</f>
        <v>19.903700966488302</v>
      </c>
      <c r="BB557" s="29">
        <f>AT226</f>
        <v>41.625</v>
      </c>
    </row>
    <row r="558" spans="51:54" x14ac:dyDescent="0.25">
      <c r="AZ558" s="28" t="s">
        <v>159</v>
      </c>
    </row>
    <row r="559" spans="51:54" x14ac:dyDescent="0.25">
      <c r="AY559" s="27">
        <v>184</v>
      </c>
      <c r="AZ559" s="27">
        <v>1</v>
      </c>
      <c r="BA559" s="29">
        <f>$AQ$242-AV227</f>
        <v>20.762704194053047</v>
      </c>
      <c r="BB559" s="29">
        <f>AS227</f>
        <v>16.25</v>
      </c>
    </row>
    <row r="560" spans="51:54" x14ac:dyDescent="0.25">
      <c r="AY560" s="27">
        <v>184</v>
      </c>
      <c r="AZ560" s="27">
        <v>2</v>
      </c>
      <c r="BA560" s="29">
        <f>$AQ$242-AQ227</f>
        <v>19.509383135615206</v>
      </c>
      <c r="BB560" s="29">
        <f>AS227</f>
        <v>16.25</v>
      </c>
    </row>
    <row r="561" spans="51:54" x14ac:dyDescent="0.25">
      <c r="AY561" s="27">
        <v>184</v>
      </c>
      <c r="AZ561" s="27">
        <v>3</v>
      </c>
      <c r="BA561" s="29">
        <f>$AQ$242-AQ227</f>
        <v>19.509383135615206</v>
      </c>
      <c r="BB561" s="29">
        <f>AT227</f>
        <v>11.75</v>
      </c>
    </row>
    <row r="562" spans="51:54" x14ac:dyDescent="0.25">
      <c r="AY562" s="27">
        <v>184</v>
      </c>
      <c r="AZ562" s="27">
        <v>4</v>
      </c>
      <c r="BA562" s="29">
        <f>$AQ$242-AW227</f>
        <v>20.649019852172025</v>
      </c>
      <c r="BB562" s="29">
        <f>AT227</f>
        <v>11.75</v>
      </c>
    </row>
    <row r="563" spans="51:54" x14ac:dyDescent="0.25">
      <c r="AZ563" s="28" t="s">
        <v>159</v>
      </c>
    </row>
    <row r="564" spans="51:54" x14ac:dyDescent="0.25">
      <c r="AY564" s="27">
        <v>185</v>
      </c>
      <c r="AZ564" s="27">
        <v>1</v>
      </c>
      <c r="BA564" s="29">
        <f>$AQ$242-AV228</f>
        <v>20.805551776845263</v>
      </c>
      <c r="BB564" s="29">
        <f>AS228</f>
        <v>52.75</v>
      </c>
    </row>
    <row r="565" spans="51:54" x14ac:dyDescent="0.25">
      <c r="AY565" s="27">
        <v>185</v>
      </c>
      <c r="AZ565" s="27">
        <v>2</v>
      </c>
      <c r="BA565" s="29">
        <f>$AQ$242-AQ228</f>
        <v>19.393783534976457</v>
      </c>
      <c r="BB565" s="29">
        <f>AS228</f>
        <v>52.75</v>
      </c>
    </row>
    <row r="566" spans="51:54" x14ac:dyDescent="0.25">
      <c r="AY566" s="27">
        <v>185</v>
      </c>
      <c r="AZ566" s="27">
        <v>3</v>
      </c>
      <c r="BA566" s="29">
        <f>$AQ$242-AQ228</f>
        <v>19.393783534976457</v>
      </c>
      <c r="BB566" s="29">
        <f>AT228</f>
        <v>49.75</v>
      </c>
    </row>
    <row r="567" spans="51:54" x14ac:dyDescent="0.25">
      <c r="AY567" s="27">
        <v>185</v>
      </c>
      <c r="AZ567" s="27">
        <v>4</v>
      </c>
      <c r="BA567" s="29">
        <f>$AQ$242-AW228</f>
        <v>20.002132545034801</v>
      </c>
      <c r="BB567" s="29">
        <f>AT228</f>
        <v>49.75</v>
      </c>
    </row>
    <row r="568" spans="51:54" x14ac:dyDescent="0.25">
      <c r="AZ568" s="28" t="s">
        <v>159</v>
      </c>
    </row>
    <row r="569" spans="51:54" x14ac:dyDescent="0.25">
      <c r="AY569" s="27">
        <v>186</v>
      </c>
      <c r="AZ569" s="27">
        <v>1</v>
      </c>
      <c r="BA569" s="29">
        <f>$AQ$242-AV229</f>
        <v>21.119475186803992</v>
      </c>
      <c r="BB569" s="29">
        <f>AS229</f>
        <v>9</v>
      </c>
    </row>
    <row r="570" spans="51:54" x14ac:dyDescent="0.25">
      <c r="AY570" s="27">
        <v>186</v>
      </c>
      <c r="AZ570" s="27">
        <v>2</v>
      </c>
      <c r="BA570" s="29">
        <f>$AQ$242-AQ229</f>
        <v>19.387472826572232</v>
      </c>
      <c r="BB570" s="29">
        <f>AS229</f>
        <v>9</v>
      </c>
    </row>
    <row r="571" spans="51:54" x14ac:dyDescent="0.25">
      <c r="AY571" s="27">
        <v>186</v>
      </c>
      <c r="AZ571" s="27">
        <v>3</v>
      </c>
      <c r="BA571" s="29">
        <f>$AQ$242-AQ229</f>
        <v>19.387472826572232</v>
      </c>
      <c r="BB571" s="29">
        <f>AT229</f>
        <v>4.625</v>
      </c>
    </row>
    <row r="572" spans="51:54" x14ac:dyDescent="0.25">
      <c r="AY572" s="27">
        <v>186</v>
      </c>
      <c r="AZ572" s="27">
        <v>4</v>
      </c>
      <c r="BA572" s="29">
        <f>$AQ$242-AW229</f>
        <v>20.094494285337671</v>
      </c>
      <c r="BB572" s="29">
        <f>AT229</f>
        <v>4.625</v>
      </c>
    </row>
    <row r="573" spans="51:54" x14ac:dyDescent="0.25">
      <c r="AZ573" s="28" t="s">
        <v>159</v>
      </c>
    </row>
    <row r="574" spans="51:54" x14ac:dyDescent="0.25">
      <c r="AY574" s="27">
        <v>187</v>
      </c>
      <c r="AZ574" s="27">
        <v>1</v>
      </c>
      <c r="BA574" s="29">
        <f>$AQ$242-AV230</f>
        <v>20.424263048447568</v>
      </c>
      <c r="BB574" s="29">
        <f>AS230</f>
        <v>67.46875</v>
      </c>
    </row>
    <row r="575" spans="51:54" x14ac:dyDescent="0.25">
      <c r="AY575" s="27">
        <v>187</v>
      </c>
      <c r="AZ575" s="27">
        <v>2</v>
      </c>
      <c r="BA575" s="29">
        <f>$AQ$242-AQ230</f>
        <v>19.159552426090613</v>
      </c>
      <c r="BB575" s="29">
        <f>AS230</f>
        <v>67.46875</v>
      </c>
    </row>
    <row r="576" spans="51:54" x14ac:dyDescent="0.25">
      <c r="AY576" s="27">
        <v>187</v>
      </c>
      <c r="AZ576" s="27">
        <v>3</v>
      </c>
      <c r="BA576" s="29">
        <f>$AQ$242-AQ230</f>
        <v>19.159552426090613</v>
      </c>
      <c r="BB576" s="29">
        <f>AT230</f>
        <v>58.8125</v>
      </c>
    </row>
    <row r="577" spans="51:54" x14ac:dyDescent="0.25">
      <c r="AY577" s="27">
        <v>187</v>
      </c>
      <c r="AZ577" s="27">
        <v>4</v>
      </c>
      <c r="BA577" s="29">
        <f>$AQ$242-AW230</f>
        <v>20.152110148323409</v>
      </c>
      <c r="BB577" s="29">
        <f>AT230</f>
        <v>58.8125</v>
      </c>
    </row>
    <row r="578" spans="51:54" x14ac:dyDescent="0.25">
      <c r="AZ578" s="28" t="s">
        <v>159</v>
      </c>
    </row>
    <row r="579" spans="51:54" x14ac:dyDescent="0.25">
      <c r="AY579" s="27">
        <v>188</v>
      </c>
      <c r="AZ579" s="27">
        <v>1</v>
      </c>
      <c r="BA579" s="29">
        <f>$AQ$242-AV231</f>
        <v>20.715238935704214</v>
      </c>
      <c r="BB579" s="29">
        <f>AS231</f>
        <v>83</v>
      </c>
    </row>
    <row r="580" spans="51:54" x14ac:dyDescent="0.25">
      <c r="AY580" s="27">
        <v>188</v>
      </c>
      <c r="AZ580" s="27">
        <v>2</v>
      </c>
      <c r="BA580" s="29">
        <f>$AQ$242-AQ231</f>
        <v>18.945431856046721</v>
      </c>
      <c r="BB580" s="29">
        <f>AS231</f>
        <v>83</v>
      </c>
    </row>
    <row r="581" spans="51:54" x14ac:dyDescent="0.25">
      <c r="AY581" s="27">
        <v>188</v>
      </c>
      <c r="AZ581" s="27">
        <v>3</v>
      </c>
      <c r="BA581" s="29">
        <f>$AQ$242-AQ231</f>
        <v>18.945431856046721</v>
      </c>
      <c r="BB581" s="29">
        <f>AT231</f>
        <v>79.75</v>
      </c>
    </row>
    <row r="582" spans="51:54" x14ac:dyDescent="0.25">
      <c r="AY582" s="27">
        <v>188</v>
      </c>
      <c r="AZ582" s="27">
        <v>4</v>
      </c>
      <c r="BA582" s="29">
        <f>$AQ$242-AW231</f>
        <v>20.284841565764197</v>
      </c>
      <c r="BB582" s="29">
        <f>AT231</f>
        <v>79.75</v>
      </c>
    </row>
    <row r="583" spans="51:54" x14ac:dyDescent="0.25">
      <c r="AZ583" s="28" t="s">
        <v>159</v>
      </c>
    </row>
    <row r="584" spans="51:54" x14ac:dyDescent="0.25">
      <c r="AY584" s="27">
        <v>189</v>
      </c>
      <c r="AZ584" s="27">
        <v>1</v>
      </c>
      <c r="BA584" s="29">
        <f>$AQ$242-AV232</f>
        <v>21.458584096993732</v>
      </c>
      <c r="BB584" s="29">
        <f>AS232</f>
        <v>47</v>
      </c>
    </row>
    <row r="585" spans="51:54" x14ac:dyDescent="0.25">
      <c r="AY585" s="27">
        <v>189</v>
      </c>
      <c r="AZ585" s="27">
        <v>2</v>
      </c>
      <c r="BA585" s="29">
        <f>$AQ$242-AQ232</f>
        <v>18.402730952128511</v>
      </c>
      <c r="BB585" s="29">
        <f>AS232</f>
        <v>47</v>
      </c>
    </row>
    <row r="586" spans="51:54" x14ac:dyDescent="0.25">
      <c r="AY586" s="27">
        <v>189</v>
      </c>
      <c r="AZ586" s="27">
        <v>3</v>
      </c>
      <c r="BA586" s="29">
        <f>$AQ$242-AQ232</f>
        <v>18.402730952128511</v>
      </c>
      <c r="BB586" s="29">
        <f>AT232</f>
        <v>43.1875</v>
      </c>
    </row>
    <row r="587" spans="51:54" x14ac:dyDescent="0.25">
      <c r="AY587" s="27">
        <v>189</v>
      </c>
      <c r="AZ587" s="27">
        <v>4</v>
      </c>
      <c r="BA587" s="29">
        <f>$AQ$242-AW232</f>
        <v>19.5533035658983</v>
      </c>
      <c r="BB587" s="29">
        <f>AT232</f>
        <v>43.1875</v>
      </c>
    </row>
    <row r="588" spans="51:54" x14ac:dyDescent="0.25">
      <c r="AZ588" s="28" t="s">
        <v>159</v>
      </c>
    </row>
    <row r="589" spans="51:54" x14ac:dyDescent="0.25">
      <c r="AY589" s="27">
        <v>190</v>
      </c>
      <c r="AZ589" s="27">
        <v>1</v>
      </c>
      <c r="BA589" s="29">
        <f>$AQ$242-AV233</f>
        <v>20.27493861564264</v>
      </c>
      <c r="BB589" s="29">
        <f>AS233</f>
        <v>35.8125</v>
      </c>
    </row>
    <row r="590" spans="51:54" x14ac:dyDescent="0.25">
      <c r="AY590" s="27">
        <v>190</v>
      </c>
      <c r="AZ590" s="27">
        <v>2</v>
      </c>
      <c r="BA590" s="29">
        <f>$AQ$242-AQ233</f>
        <v>18.066851390946901</v>
      </c>
      <c r="BB590" s="29">
        <f>AS233</f>
        <v>35.8125</v>
      </c>
    </row>
    <row r="591" spans="51:54" x14ac:dyDescent="0.25">
      <c r="AY591" s="27">
        <v>190</v>
      </c>
      <c r="AZ591" s="27">
        <v>3</v>
      </c>
      <c r="BA591" s="29">
        <f>$AQ$242-AQ233</f>
        <v>18.066851390946901</v>
      </c>
      <c r="BB591" s="29">
        <f>AT233</f>
        <v>25.71875</v>
      </c>
    </row>
    <row r="592" spans="51:54" x14ac:dyDescent="0.25">
      <c r="AY592" s="27">
        <v>190</v>
      </c>
      <c r="AZ592" s="27">
        <v>4</v>
      </c>
      <c r="BA592" s="29">
        <f>$AQ$242-AW233</f>
        <v>19.67532862725766</v>
      </c>
      <c r="BB592" s="29">
        <f>AT233</f>
        <v>25.71875</v>
      </c>
    </row>
    <row r="593" spans="51:54" x14ac:dyDescent="0.25">
      <c r="AZ593" s="28" t="s">
        <v>159</v>
      </c>
    </row>
    <row r="594" spans="51:54" x14ac:dyDescent="0.25">
      <c r="AY594" s="27">
        <v>191</v>
      </c>
      <c r="AZ594" s="27">
        <v>1</v>
      </c>
      <c r="BA594" s="29">
        <f>$AQ$242-AV234</f>
        <v>19.509383135615206</v>
      </c>
      <c r="BB594" s="29">
        <f>AS234</f>
        <v>14</v>
      </c>
    </row>
    <row r="595" spans="51:54" x14ac:dyDescent="0.25">
      <c r="AY595" s="27">
        <v>191</v>
      </c>
      <c r="AZ595" s="27">
        <v>2</v>
      </c>
      <c r="BA595" s="29">
        <f>$AQ$242-AQ234</f>
        <v>17.756707743729301</v>
      </c>
      <c r="BB595" s="29">
        <f>AS234</f>
        <v>14</v>
      </c>
    </row>
    <row r="596" spans="51:54" x14ac:dyDescent="0.25">
      <c r="AY596" s="27">
        <v>191</v>
      </c>
      <c r="AZ596" s="27">
        <v>3</v>
      </c>
      <c r="BA596" s="29">
        <f>$AQ$242-AQ234</f>
        <v>17.756707743729301</v>
      </c>
      <c r="BB596" s="29">
        <f>AT234</f>
        <v>6.8125</v>
      </c>
    </row>
    <row r="597" spans="51:54" x14ac:dyDescent="0.25">
      <c r="AY597" s="27">
        <v>191</v>
      </c>
      <c r="AZ597" s="27">
        <v>4</v>
      </c>
      <c r="BA597" s="29">
        <f>$AQ$242-AW234</f>
        <v>19.387472826572232</v>
      </c>
      <c r="BB597" s="29">
        <f>AT234</f>
        <v>6.8125</v>
      </c>
    </row>
    <row r="598" spans="51:54" x14ac:dyDescent="0.25">
      <c r="AZ598" s="28" t="s">
        <v>159</v>
      </c>
    </row>
    <row r="599" spans="51:54" x14ac:dyDescent="0.25">
      <c r="AY599" s="27">
        <v>192</v>
      </c>
      <c r="AZ599" s="27">
        <v>1</v>
      </c>
      <c r="BA599" s="29">
        <f>$AQ$242-AV235</f>
        <v>19.393783534976457</v>
      </c>
      <c r="BB599" s="29">
        <f>AS235</f>
        <v>51.25</v>
      </c>
    </row>
    <row r="600" spans="51:54" x14ac:dyDescent="0.25">
      <c r="AY600" s="27">
        <v>192</v>
      </c>
      <c r="AZ600" s="27">
        <v>2</v>
      </c>
      <c r="BA600" s="29">
        <f>$AQ$242-AQ235</f>
        <v>17.493535588166559</v>
      </c>
      <c r="BB600" s="29">
        <f>AS235</f>
        <v>51.25</v>
      </c>
    </row>
    <row r="601" spans="51:54" x14ac:dyDescent="0.25">
      <c r="AY601" s="27">
        <v>192</v>
      </c>
      <c r="AZ601" s="27">
        <v>3</v>
      </c>
      <c r="BA601" s="29">
        <f>$AQ$242-AQ235</f>
        <v>17.493535588166559</v>
      </c>
      <c r="BB601" s="29">
        <f>AT235</f>
        <v>45.09375</v>
      </c>
    </row>
    <row r="602" spans="51:54" x14ac:dyDescent="0.25">
      <c r="AY602" s="27">
        <v>192</v>
      </c>
      <c r="AZ602" s="27">
        <v>4</v>
      </c>
      <c r="BA602" s="29">
        <f>$AQ$242-AW235</f>
        <v>18.402730952128511</v>
      </c>
      <c r="BB602" s="29">
        <f>AT235</f>
        <v>45.09375</v>
      </c>
    </row>
    <row r="603" spans="51:54" x14ac:dyDescent="0.25">
      <c r="AZ603" s="28" t="s">
        <v>159</v>
      </c>
    </row>
    <row r="604" spans="51:54" x14ac:dyDescent="0.25">
      <c r="AY604" s="27">
        <v>193</v>
      </c>
      <c r="AZ604" s="27">
        <v>1</v>
      </c>
      <c r="BA604" s="29">
        <f>$AQ$242-AV236</f>
        <v>20.942854282035036</v>
      </c>
      <c r="BB604" s="29">
        <f>AS236</f>
        <v>75.8125</v>
      </c>
    </row>
    <row r="605" spans="51:54" x14ac:dyDescent="0.25">
      <c r="AY605" s="27">
        <v>193</v>
      </c>
      <c r="AZ605" s="27">
        <v>2</v>
      </c>
      <c r="BA605" s="29">
        <f>$AQ$242-AQ236</f>
        <v>17.445513517421986</v>
      </c>
      <c r="BB605" s="29">
        <f>AS236</f>
        <v>75.8125</v>
      </c>
    </row>
    <row r="606" spans="51:54" x14ac:dyDescent="0.25">
      <c r="AY606" s="27">
        <v>193</v>
      </c>
      <c r="AZ606" s="27">
        <v>3</v>
      </c>
      <c r="BA606" s="29">
        <f>$AQ$242-AQ236</f>
        <v>17.445513517421986</v>
      </c>
      <c r="BB606" s="29">
        <f>AT236</f>
        <v>63.140625</v>
      </c>
    </row>
    <row r="607" spans="51:54" x14ac:dyDescent="0.25">
      <c r="AY607" s="27">
        <v>193</v>
      </c>
      <c r="AZ607" s="27">
        <v>4</v>
      </c>
      <c r="BA607" s="29">
        <f>$AQ$242-AW236</f>
        <v>19.159552426090613</v>
      </c>
      <c r="BB607" s="29">
        <f>AT236</f>
        <v>63.140625</v>
      </c>
    </row>
    <row r="608" spans="51:54" x14ac:dyDescent="0.25">
      <c r="AZ608" s="28" t="s">
        <v>159</v>
      </c>
    </row>
    <row r="609" spans="51:54" x14ac:dyDescent="0.25">
      <c r="AY609" s="27">
        <v>194</v>
      </c>
      <c r="AZ609" s="27">
        <v>1</v>
      </c>
      <c r="BA609" s="29">
        <f>$AQ$242-AV237</f>
        <v>21.590054667420304</v>
      </c>
      <c r="BB609" s="29">
        <f>AS237</f>
        <v>98.5625</v>
      </c>
    </row>
    <row r="610" spans="51:54" x14ac:dyDescent="0.25">
      <c r="AY610" s="27">
        <v>194</v>
      </c>
      <c r="AZ610" s="27">
        <v>2</v>
      </c>
      <c r="BA610" s="29">
        <f>$AQ$242-AQ237</f>
        <v>17.348248184468893</v>
      </c>
      <c r="BB610" s="29">
        <f>AS237</f>
        <v>98.5625</v>
      </c>
    </row>
    <row r="611" spans="51:54" x14ac:dyDescent="0.25">
      <c r="AY611" s="27">
        <v>194</v>
      </c>
      <c r="AZ611" s="27">
        <v>3</v>
      </c>
      <c r="BA611" s="29">
        <f>$AQ$242-AQ237</f>
        <v>17.348248184468893</v>
      </c>
      <c r="BB611" s="29">
        <f>AT237</f>
        <v>90.46875</v>
      </c>
    </row>
    <row r="612" spans="51:54" x14ac:dyDescent="0.25">
      <c r="AY612" s="27">
        <v>194</v>
      </c>
      <c r="AZ612" s="27">
        <v>4</v>
      </c>
      <c r="BA612" s="29">
        <f>$AQ$242-AW237</f>
        <v>20.282437391163043</v>
      </c>
      <c r="BB612" s="29">
        <f>AT237</f>
        <v>90.46875</v>
      </c>
    </row>
    <row r="613" spans="51:54" x14ac:dyDescent="0.25">
      <c r="AZ613" s="28" t="s">
        <v>159</v>
      </c>
    </row>
    <row r="614" spans="51:54" x14ac:dyDescent="0.25">
      <c r="AY614" s="27">
        <v>195</v>
      </c>
      <c r="AZ614" s="27">
        <v>1</v>
      </c>
      <c r="BA614" s="29">
        <f>$AQ$242-AV238</f>
        <v>18.945431856046721</v>
      </c>
      <c r="BB614" s="29">
        <f>AS238</f>
        <v>81.375</v>
      </c>
    </row>
    <row r="615" spans="51:54" x14ac:dyDescent="0.25">
      <c r="AY615" s="27">
        <v>195</v>
      </c>
      <c r="AZ615" s="27">
        <v>2</v>
      </c>
      <c r="BA615" s="29">
        <f>$AQ$242-AQ238</f>
        <v>15.546653296060295</v>
      </c>
      <c r="BB615" s="29">
        <f>AS238</f>
        <v>81.375</v>
      </c>
    </row>
    <row r="616" spans="51:54" x14ac:dyDescent="0.25">
      <c r="AY616" s="27">
        <v>195</v>
      </c>
      <c r="AZ616" s="27">
        <v>3</v>
      </c>
      <c r="BA616" s="29">
        <f>$AQ$242-AQ238</f>
        <v>15.546653296060295</v>
      </c>
      <c r="BB616" s="29">
        <f>AT238</f>
        <v>69.4765625</v>
      </c>
    </row>
    <row r="617" spans="51:54" x14ac:dyDescent="0.25">
      <c r="AY617" s="27">
        <v>195</v>
      </c>
      <c r="AZ617" s="27">
        <v>4</v>
      </c>
      <c r="BA617" s="29">
        <f>$AQ$242-AW238</f>
        <v>17.445513517421986</v>
      </c>
      <c r="BB617" s="29">
        <f>AT238</f>
        <v>69.4765625</v>
      </c>
    </row>
    <row r="618" spans="51:54" x14ac:dyDescent="0.25">
      <c r="AZ618" s="28" t="s">
        <v>159</v>
      </c>
    </row>
    <row r="619" spans="51:54" x14ac:dyDescent="0.25">
      <c r="AY619" s="27">
        <v>196</v>
      </c>
      <c r="AZ619" s="27">
        <v>1</v>
      </c>
      <c r="BA619" s="29">
        <f>$AQ$242-AV239</f>
        <v>17.348248184468893</v>
      </c>
      <c r="BB619" s="29">
        <f>AS239</f>
        <v>94.515625</v>
      </c>
    </row>
    <row r="620" spans="51:54" x14ac:dyDescent="0.25">
      <c r="AY620" s="27">
        <v>196</v>
      </c>
      <c r="AZ620" s="27">
        <v>2</v>
      </c>
      <c r="BA620" s="29">
        <f>$AQ$242-AQ239</f>
        <v>12.662872944242515</v>
      </c>
      <c r="BB620" s="29">
        <f>AS239</f>
        <v>94.515625</v>
      </c>
    </row>
    <row r="621" spans="51:54" x14ac:dyDescent="0.25">
      <c r="AY621" s="27">
        <v>196</v>
      </c>
      <c r="AZ621" s="27">
        <v>3</v>
      </c>
      <c r="BA621" s="29">
        <f>$AQ$242-AQ239</f>
        <v>12.662872944242515</v>
      </c>
      <c r="BB621" s="29">
        <f>AT239</f>
        <v>75.42578125</v>
      </c>
    </row>
    <row r="622" spans="51:54" x14ac:dyDescent="0.25">
      <c r="AY622" s="27">
        <v>196</v>
      </c>
      <c r="AZ622" s="27">
        <v>4</v>
      </c>
      <c r="BA622" s="29">
        <f>$AQ$242-AW239</f>
        <v>15.546653296060295</v>
      </c>
      <c r="BB622" s="29">
        <f>AT239</f>
        <v>75.42578125</v>
      </c>
    </row>
    <row r="623" spans="51:54" x14ac:dyDescent="0.25">
      <c r="AZ623" s="28" t="s">
        <v>159</v>
      </c>
    </row>
    <row r="624" spans="51:54" x14ac:dyDescent="0.25">
      <c r="AY624" s="27">
        <v>197</v>
      </c>
      <c r="AZ624" s="27">
        <v>1</v>
      </c>
      <c r="BA624" s="29">
        <f>$AQ$242-AV240</f>
        <v>18.066851390946901</v>
      </c>
      <c r="BB624" s="29">
        <f>AS240</f>
        <v>30.765625</v>
      </c>
    </row>
    <row r="625" spans="51:54" x14ac:dyDescent="0.25">
      <c r="AY625" s="27">
        <v>197</v>
      </c>
      <c r="AZ625" s="27">
        <v>2</v>
      </c>
      <c r="BA625" s="29">
        <f>$AQ$242-AQ240</f>
        <v>11.81255029652505</v>
      </c>
      <c r="BB625" s="29">
        <f>AS240</f>
        <v>30.765625</v>
      </c>
    </row>
    <row r="626" spans="51:54" x14ac:dyDescent="0.25">
      <c r="AY626" s="27">
        <v>197</v>
      </c>
      <c r="AZ626" s="27">
        <v>3</v>
      </c>
      <c r="BA626" s="29">
        <f>$AQ$242-AQ240</f>
        <v>11.81255029652505</v>
      </c>
      <c r="BB626" s="29">
        <f>AT240</f>
        <v>10.40625</v>
      </c>
    </row>
    <row r="627" spans="51:54" x14ac:dyDescent="0.25">
      <c r="AY627" s="27">
        <v>197</v>
      </c>
      <c r="AZ627" s="27">
        <v>4</v>
      </c>
      <c r="BA627" s="29">
        <f>$AQ$242-AW240</f>
        <v>17.756707743729301</v>
      </c>
      <c r="BB627" s="29">
        <f>AT240</f>
        <v>10.40625</v>
      </c>
    </row>
    <row r="628" spans="51:54" x14ac:dyDescent="0.25">
      <c r="AZ628" s="28" t="s">
        <v>159</v>
      </c>
    </row>
    <row r="629" spans="51:54" x14ac:dyDescent="0.25">
      <c r="AY629" s="27">
        <v>198</v>
      </c>
      <c r="AZ629" s="27">
        <v>1</v>
      </c>
      <c r="BA629" s="29">
        <f>$AQ$242-AV241</f>
        <v>17.493535588166559</v>
      </c>
      <c r="BB629" s="29">
        <f>AS241</f>
        <v>48.171875</v>
      </c>
    </row>
    <row r="630" spans="51:54" x14ac:dyDescent="0.25">
      <c r="AY630" s="27">
        <v>198</v>
      </c>
      <c r="AZ630" s="27">
        <v>2</v>
      </c>
      <c r="BA630" s="29">
        <f>$AQ$242-AQ241</f>
        <v>9.1915102409667</v>
      </c>
      <c r="BB630" s="29">
        <f>AS241</f>
        <v>48.171875</v>
      </c>
    </row>
    <row r="631" spans="51:54" x14ac:dyDescent="0.25">
      <c r="AY631" s="27">
        <v>198</v>
      </c>
      <c r="AZ631" s="27">
        <v>3</v>
      </c>
      <c r="BA631" s="29">
        <f>$AQ$242-AQ241</f>
        <v>9.1915102409667</v>
      </c>
      <c r="BB631" s="29">
        <f>AT241</f>
        <v>20.5859375</v>
      </c>
    </row>
    <row r="632" spans="51:54" x14ac:dyDescent="0.25">
      <c r="AY632" s="27">
        <v>198</v>
      </c>
      <c r="AZ632" s="27">
        <v>4</v>
      </c>
      <c r="BA632" s="29">
        <f>$AQ$242-AW241</f>
        <v>11.81255029652505</v>
      </c>
      <c r="BB632" s="29">
        <f>AT241</f>
        <v>20.5859375</v>
      </c>
    </row>
    <row r="633" spans="51:54" x14ac:dyDescent="0.25">
      <c r="AZ633" s="28" t="s">
        <v>159</v>
      </c>
    </row>
    <row r="634" spans="51:54" x14ac:dyDescent="0.25">
      <c r="AY634" s="27">
        <v>199</v>
      </c>
      <c r="AZ634" s="27">
        <v>1</v>
      </c>
      <c r="BA634" s="29">
        <f>$AQ$242-AV242</f>
        <v>12.662872944242515</v>
      </c>
      <c r="BB634" s="29">
        <f>AS242</f>
        <v>84.970703125</v>
      </c>
    </row>
    <row r="635" spans="51:54" x14ac:dyDescent="0.25">
      <c r="AY635" s="27">
        <v>199</v>
      </c>
      <c r="AZ635" s="27">
        <v>2</v>
      </c>
      <c r="BA635" s="29">
        <f>$AQ$242-AQ242</f>
        <v>0</v>
      </c>
      <c r="BB635" s="29">
        <f>AS242</f>
        <v>84.970703125</v>
      </c>
    </row>
    <row r="636" spans="51:54" x14ac:dyDescent="0.25">
      <c r="AY636" s="27">
        <v>199</v>
      </c>
      <c r="AZ636" s="27">
        <v>3</v>
      </c>
      <c r="BA636" s="29">
        <f>$AQ$242-AQ242</f>
        <v>0</v>
      </c>
      <c r="BB636" s="29">
        <f>AT242</f>
        <v>34.37890625</v>
      </c>
    </row>
    <row r="637" spans="51:54" x14ac:dyDescent="0.25">
      <c r="AY637" s="27">
        <v>199</v>
      </c>
      <c r="AZ637" s="27">
        <v>4</v>
      </c>
      <c r="BA637" s="29">
        <f>$AQ$242-AW242</f>
        <v>9.1915102409667</v>
      </c>
      <c r="BB637" s="29">
        <f>AT242</f>
        <v>34.37890625</v>
      </c>
    </row>
    <row r="638" spans="51:54" x14ac:dyDescent="0.25">
      <c r="AZ638" s="28" t="s">
        <v>159</v>
      </c>
    </row>
  </sheetData>
  <mergeCells count="88">
    <mergeCell ref="O216:S216"/>
    <mergeCell ref="O204:R206"/>
    <mergeCell ref="S204:AK206"/>
    <mergeCell ref="O207:R209"/>
    <mergeCell ref="S207:AK209"/>
    <mergeCell ref="O210:R212"/>
    <mergeCell ref="S210:AK212"/>
    <mergeCell ref="O195:R197"/>
    <mergeCell ref="S195:AK197"/>
    <mergeCell ref="O198:R200"/>
    <mergeCell ref="S198:AK200"/>
    <mergeCell ref="O201:R203"/>
    <mergeCell ref="S201:AK203"/>
    <mergeCell ref="O186:R188"/>
    <mergeCell ref="S186:AK188"/>
    <mergeCell ref="O189:R191"/>
    <mergeCell ref="S189:AK191"/>
    <mergeCell ref="O192:R194"/>
    <mergeCell ref="S192:AK194"/>
    <mergeCell ref="O177:R179"/>
    <mergeCell ref="S177:AK179"/>
    <mergeCell ref="O180:R182"/>
    <mergeCell ref="S180:AK182"/>
    <mergeCell ref="O183:R185"/>
    <mergeCell ref="S183:AK185"/>
    <mergeCell ref="O168:R170"/>
    <mergeCell ref="S168:AK170"/>
    <mergeCell ref="O171:R173"/>
    <mergeCell ref="S171:AK173"/>
    <mergeCell ref="O174:R176"/>
    <mergeCell ref="S174:AK176"/>
    <mergeCell ref="Z146:AE146"/>
    <mergeCell ref="O160:AK160"/>
    <mergeCell ref="O162:R164"/>
    <mergeCell ref="S162:AK164"/>
    <mergeCell ref="O165:R167"/>
    <mergeCell ref="S165:AK167"/>
    <mergeCell ref="Z141:AE141"/>
    <mergeCell ref="Z142:AE142"/>
    <mergeCell ref="Z143:AE143"/>
    <mergeCell ref="Z144:AE144"/>
    <mergeCell ref="Z145:AE145"/>
    <mergeCell ref="Z136:AE136"/>
    <mergeCell ref="Z137:AE137"/>
    <mergeCell ref="Z138:AE138"/>
    <mergeCell ref="Z139:AE139"/>
    <mergeCell ref="Z140:AE140"/>
    <mergeCell ref="O121:X121"/>
    <mergeCell ref="O132:X132"/>
    <mergeCell ref="Z132:AK132"/>
    <mergeCell ref="Z134:AE134"/>
    <mergeCell ref="Z135:AE135"/>
    <mergeCell ref="AY142:BB142"/>
    <mergeCell ref="BD142:BG142"/>
    <mergeCell ref="Z121:AK121"/>
    <mergeCell ref="AM248:AW248"/>
    <mergeCell ref="B115:F115"/>
    <mergeCell ref="G115:L115"/>
    <mergeCell ref="B116:F116"/>
    <mergeCell ref="B118:L118"/>
    <mergeCell ref="B119:F120"/>
    <mergeCell ref="B122:F122"/>
    <mergeCell ref="G122:H122"/>
    <mergeCell ref="I122:J122"/>
    <mergeCell ref="K122:L122"/>
    <mergeCell ref="B124:L124"/>
    <mergeCell ref="B125:L125"/>
    <mergeCell ref="B126:L126"/>
    <mergeCell ref="O13:R13"/>
    <mergeCell ref="T13:X13"/>
    <mergeCell ref="AM142:AW142"/>
    <mergeCell ref="B6:L6"/>
    <mergeCell ref="B7:F8"/>
    <mergeCell ref="B9:F10"/>
    <mergeCell ref="B11:F12"/>
    <mergeCell ref="O1:X1"/>
    <mergeCell ref="O2:X2"/>
    <mergeCell ref="O3:R3"/>
    <mergeCell ref="T3:X3"/>
    <mergeCell ref="O4:X5"/>
    <mergeCell ref="O6:X7"/>
    <mergeCell ref="O8:X9"/>
    <mergeCell ref="O10:X11"/>
    <mergeCell ref="B1:L1"/>
    <mergeCell ref="B2:L2"/>
    <mergeCell ref="B3:L3"/>
    <mergeCell ref="B4:L4"/>
    <mergeCell ref="B5:K5"/>
  </mergeCells>
  <conditionalFormatting sqref="D14:D113">
    <cfRule type="cellIs" dxfId="11" priority="2" operator="equal">
      <formula>1</formula>
    </cfRule>
    <cfRule type="cellIs" dxfId="10" priority="3" operator="equal">
      <formula>2</formula>
    </cfRule>
    <cfRule type="cellIs" dxfId="9" priority="4" operator="equal">
      <formula>3</formula>
    </cfRule>
    <cfRule type="cellIs" dxfId="8" priority="5" operator="equal">
      <formula>4</formula>
    </cfRule>
    <cfRule type="cellIs" dxfId="7" priority="6" operator="equal">
      <formula>5</formula>
    </cfRule>
    <cfRule type="cellIs" dxfId="6" priority="7" operator="equal">
      <formula>6</formula>
    </cfRule>
    <cfRule type="cellIs" dxfId="5" priority="8" operator="equal">
      <formula>7</formula>
    </cfRule>
    <cfRule type="cellIs" dxfId="4" priority="9" operator="equal">
      <formula>8</formula>
    </cfRule>
    <cfRule type="cellIs" dxfId="3" priority="10" operator="equal">
      <formula>9</formula>
    </cfRule>
    <cfRule type="cellIs" dxfId="2" priority="11" operator="equal">
      <formula>10</formula>
    </cfRule>
  </conditionalFormatting>
  <conditionalFormatting sqref="E14:E113">
    <cfRule type="cellIs" dxfId="1" priority="12" operator="equal">
      <formula>4</formula>
    </cfRule>
    <cfRule type="cellIs" dxfId="0" priority="13" operator="equal">
      <formula>12</formula>
    </cfRule>
  </conditionalFormatting>
  <conditionalFormatting sqref="G14:L113">
    <cfRule type="colorScale" priority="1">
      <colorScale>
        <cfvo type="num" val="-2"/>
        <cfvo type="num" val="0"/>
        <cfvo type="num" val="2"/>
        <color rgb="FF0072B2"/>
        <color rgb="FFF7F9FB"/>
        <color rgb="FFE69F00"/>
      </colorScale>
    </cfRule>
  </conditionalFormatting>
  <hyperlinks>
    <hyperlink ref="O3" location="'Combined Clustermap'!A1" display="← Return to figure" xr:uid="{00000000-0004-0000-0000-000000000000}"/>
    <hyperlink ref="T3" location="'Combined Clustermap'!O288" display="Method notes ↓" xr:uid="{00000000-0004-0000-0000-000001000000}"/>
    <hyperlink ref="L5" location="'Combined Clustermap'!O1" display="Data &amp; methods →" xr:uid="{00000000-0004-0000-0000-000002000000}"/>
    <hyperlink ref="O13" location="'Combined Clustermap'!O142" display="Source data ↓" xr:uid="{00000000-0004-0000-0000-000003000000}"/>
    <hyperlink ref="T13" location="'Combined Clustermap'!AM142" display="Linkage tables ↓" xr:uid="{00000000-0004-0000-0000-000004000000}"/>
    <hyperlink ref="O216" location="'Combined Clustermap'!A1" display="← Back to figure" xr:uid="{00000000-0004-0000-0000-000005000000}"/>
  </hyperlinks>
  <printOptions horizontalCentered="1"/>
  <pageMargins left="0.25" right="0.25" top="0.25" bottom="0.25" header="0.3" footer="0.3"/>
  <pageSetup paperSize="8" orientation="portrait"/>
  <drawing r:id="rId1"/>
  <legacyDrawing r:id="rId2"/>
  <tableParts count="9">
    <tablePart r:id="rId3"/>
    <tablePart r:id="rId4"/>
    <tablePart r:id="rId5"/>
    <tablePart r:id="rId6"/>
    <tablePart r:id="rId7"/>
    <tablePart r:id="rId8"/>
    <tablePart r:id="rId9"/>
    <tablePart r:id="rId10"/>
    <tablePart r:id="rId1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Combined Clustermap</vt:lpstr>
      <vt:lpstr>'Combined Clustermap'!Print_Area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Global phenotypic landscape of nicotine withdrawal and recovery</dc:title>
  <dc:subject>Editable combined-cohort hierarchical clustermap and auditable supporting tables</dc:subject>
  <dc:creator>Research visualization</dc:creator>
  <dc:description>Native Excel XY dendrograms and conditional-format heatmap; no embedded raster figures.</dc:description>
  <cp:lastModifiedBy>achint chaudhary</cp:lastModifiedBy>
  <dcterms:created xsi:type="dcterms:W3CDTF">2026-09-27T14:32:06Z</dcterms:created>
  <dcterms:modified xsi:type="dcterms:W3CDTF">2026-09-27T14:35:54Z</dcterms:modified>
</cp:coreProperties>
</file>